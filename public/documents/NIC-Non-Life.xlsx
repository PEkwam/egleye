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el.mensah\Downloads\"/>
    </mc:Choice>
  </mc:AlternateContent>
  <xr:revisionPtr revIDLastSave="0" documentId="8_{504DADBE-D229-48D8-9B10-02D38066DD8D}" xr6:coauthVersionLast="47" xr6:coauthVersionMax="47" xr10:uidLastSave="{00000000-0000-0000-0000-000000000000}"/>
  <bookViews>
    <workbookView xWindow="28680" yWindow="-120" windowWidth="20730" windowHeight="11040" xr2:uid="{C77175A7-F7B7-4BD7-AE67-2E04C9240F4B}"/>
  </bookViews>
  <sheets>
    <sheet name="Q1 2024" sheetId="1" r:id="rId1"/>
    <sheet name="Q2 2024" sheetId="2" r:id="rId2"/>
    <sheet name="Q3 2024" sheetId="3" r:id="rId3"/>
    <sheet name="Q4 2024" sheetId="4" r:id="rId4"/>
    <sheet name="Q1 2025" sheetId="5" r:id="rId5"/>
    <sheet name="Q2 20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1" i="6" l="1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BA30" i="6"/>
  <c r="AZ30" i="6"/>
  <c r="BA29" i="6"/>
  <c r="AZ29" i="6"/>
  <c r="BA28" i="6"/>
  <c r="AZ28" i="6"/>
  <c r="BA27" i="6"/>
  <c r="AZ27" i="6"/>
  <c r="BA25" i="6"/>
  <c r="AZ25" i="6"/>
  <c r="BA24" i="6"/>
  <c r="AZ24" i="6"/>
  <c r="BA23" i="6"/>
  <c r="BA22" i="6"/>
  <c r="AZ22" i="6"/>
  <c r="BA21" i="6"/>
  <c r="AZ21" i="6"/>
  <c r="BA19" i="6"/>
  <c r="AZ19" i="6"/>
  <c r="BA18" i="6"/>
  <c r="AZ18" i="6"/>
  <c r="BA17" i="6"/>
  <c r="AZ17" i="6"/>
  <c r="BA16" i="6"/>
  <c r="AZ16" i="6"/>
  <c r="BA15" i="6"/>
  <c r="AZ15" i="6"/>
  <c r="BA13" i="6"/>
  <c r="AZ13" i="6"/>
  <c r="BA12" i="6"/>
  <c r="AZ12" i="6"/>
  <c r="BA11" i="6"/>
  <c r="AZ11" i="6"/>
  <c r="BA10" i="6"/>
  <c r="AZ10" i="6"/>
  <c r="BA9" i="6"/>
  <c r="AZ9" i="6"/>
  <c r="BA8" i="6"/>
  <c r="AZ8" i="6"/>
  <c r="BA7" i="6"/>
  <c r="AZ7" i="6"/>
  <c r="BA6" i="6"/>
  <c r="BA31" i="6" s="1"/>
  <c r="AZ6" i="6"/>
  <c r="AZ31" i="6" s="1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BA27" i="5" s="1"/>
  <c r="AE31" i="5"/>
  <c r="AD31" i="5"/>
  <c r="AC31" i="5"/>
  <c r="AB31" i="5"/>
  <c r="AA31" i="5"/>
  <c r="Z31" i="5"/>
  <c r="Y31" i="5"/>
  <c r="AZ28" i="5" s="1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BA30" i="5"/>
  <c r="AZ30" i="5"/>
  <c r="BA29" i="5"/>
  <c r="BA28" i="5"/>
  <c r="AZ27" i="5"/>
  <c r="BA26" i="5"/>
  <c r="BA24" i="5"/>
  <c r="AZ24" i="5"/>
  <c r="BA23" i="5"/>
  <c r="BA22" i="5"/>
  <c r="AZ21" i="5"/>
  <c r="BA20" i="5"/>
  <c r="AZ19" i="5"/>
  <c r="BA18" i="5"/>
  <c r="AZ18" i="5"/>
  <c r="BA16" i="5"/>
  <c r="BA15" i="5"/>
  <c r="AZ14" i="5"/>
  <c r="BA13" i="5"/>
  <c r="AZ12" i="5"/>
  <c r="BA11" i="5"/>
  <c r="AZ11" i="5"/>
  <c r="BA10" i="5"/>
  <c r="BA9" i="5"/>
  <c r="AZ8" i="5"/>
  <c r="BA7" i="5"/>
  <c r="AZ6" i="5"/>
  <c r="BA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BA25" i="4" s="1"/>
  <c r="AE31" i="4"/>
  <c r="AD31" i="4"/>
  <c r="AC31" i="4"/>
  <c r="AB31" i="4"/>
  <c r="AA31" i="4"/>
  <c r="Z31" i="4"/>
  <c r="Y31" i="4"/>
  <c r="AZ26" i="4" s="1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Z28" i="4"/>
  <c r="AZ25" i="4"/>
  <c r="AZ22" i="4"/>
  <c r="AZ19" i="4"/>
  <c r="AZ15" i="4"/>
  <c r="AZ12" i="4"/>
  <c r="AZ9" i="4"/>
  <c r="AZ6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AY26" i="3" s="1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Y30" i="3"/>
  <c r="AY29" i="3"/>
  <c r="AY28" i="3"/>
  <c r="AY27" i="3"/>
  <c r="AY25" i="3"/>
  <c r="AY24" i="3"/>
  <c r="AY23" i="3"/>
  <c r="AY21" i="3"/>
  <c r="AY20" i="3"/>
  <c r="AY19" i="3"/>
  <c r="AY18" i="3"/>
  <c r="AY17" i="3"/>
  <c r="AY16" i="3"/>
  <c r="AY15" i="3"/>
  <c r="AY12" i="3"/>
  <c r="AY11" i="3"/>
  <c r="AY10" i="3"/>
  <c r="AY8" i="3"/>
  <c r="AY6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AY30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Y31" i="2"/>
  <c r="AY29" i="2"/>
  <c r="AY28" i="2"/>
  <c r="AY27" i="2"/>
  <c r="AY25" i="2"/>
  <c r="AY23" i="2"/>
  <c r="AY22" i="2"/>
  <c r="AY20" i="2"/>
  <c r="AY18" i="2"/>
  <c r="AY16" i="2"/>
  <c r="AY13" i="2"/>
  <c r="AY12" i="2"/>
  <c r="AY11" i="2"/>
  <c r="AY3" i="2" s="1"/>
  <c r="AY9" i="2"/>
  <c r="AY7" i="2"/>
  <c r="AY6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AY30" i="1" s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Y31" i="1"/>
  <c r="AY16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Y17" i="2" l="1"/>
  <c r="BA7" i="4"/>
  <c r="BA13" i="4"/>
  <c r="BA20" i="4"/>
  <c r="BA26" i="4"/>
  <c r="AZ8" i="4"/>
  <c r="AZ14" i="4"/>
  <c r="AZ21" i="4"/>
  <c r="AZ27" i="4"/>
  <c r="AZ10" i="5"/>
  <c r="AZ3" i="5" s="1"/>
  <c r="AZ16" i="5"/>
  <c r="AZ23" i="5"/>
  <c r="AZ29" i="5"/>
  <c r="BA8" i="4"/>
  <c r="BA14" i="4"/>
  <c r="BA21" i="4"/>
  <c r="BA27" i="4"/>
  <c r="AY7" i="1"/>
  <c r="AY25" i="1"/>
  <c r="BA9" i="4"/>
  <c r="BA15" i="4"/>
  <c r="BA22" i="4"/>
  <c r="BA28" i="4"/>
  <c r="AZ10" i="4"/>
  <c r="AZ3" i="4" s="1"/>
  <c r="AZ16" i="4"/>
  <c r="AZ23" i="4"/>
  <c r="AZ29" i="4"/>
  <c r="AZ25" i="5"/>
  <c r="AY17" i="1"/>
  <c r="AY20" i="1"/>
  <c r="AY22" i="1"/>
  <c r="AY23" i="1"/>
  <c r="AY9" i="1"/>
  <c r="AY10" i="1"/>
  <c r="AY26" i="1"/>
  <c r="AY11" i="1"/>
  <c r="AY3" i="1" s="1"/>
  <c r="AY27" i="1"/>
  <c r="AY10" i="2"/>
  <c r="AY32" i="2" s="1"/>
  <c r="AY26" i="2"/>
  <c r="AY9" i="3"/>
  <c r="AY31" i="3" s="1"/>
  <c r="AY22" i="3"/>
  <c r="BA10" i="4"/>
  <c r="BA3" i="4" s="1"/>
  <c r="BA16" i="4"/>
  <c r="BA23" i="4"/>
  <c r="BA29" i="4"/>
  <c r="BA6" i="5"/>
  <c r="BA12" i="5"/>
  <c r="BA19" i="5"/>
  <c r="BA25" i="5"/>
  <c r="AZ11" i="4"/>
  <c r="AZ18" i="4"/>
  <c r="AZ24" i="4"/>
  <c r="AZ30" i="4"/>
  <c r="AZ7" i="5"/>
  <c r="AZ31" i="5" s="1"/>
  <c r="AZ13" i="5"/>
  <c r="AZ20" i="5"/>
  <c r="AZ26" i="5"/>
  <c r="BA11" i="4"/>
  <c r="BA18" i="4"/>
  <c r="BA24" i="4"/>
  <c r="BA30" i="4"/>
  <c r="AY18" i="1"/>
  <c r="AY6" i="1"/>
  <c r="AY12" i="1"/>
  <c r="AY28" i="1"/>
  <c r="AY13" i="1"/>
  <c r="AY29" i="1"/>
  <c r="AY14" i="1"/>
  <c r="AY14" i="2"/>
  <c r="AY13" i="3"/>
  <c r="BA6" i="4"/>
  <c r="BA12" i="4"/>
  <c r="BA19" i="4"/>
  <c r="BA8" i="5"/>
  <c r="BA14" i="5"/>
  <c r="BA21" i="5"/>
  <c r="AZ7" i="4"/>
  <c r="AZ31" i="4" s="1"/>
  <c r="AZ13" i="4"/>
  <c r="AZ20" i="4"/>
  <c r="AZ9" i="5"/>
  <c r="AZ15" i="5"/>
  <c r="AZ22" i="5"/>
  <c r="AY32" i="1" l="1"/>
  <c r="BA31" i="4"/>
  <c r="BA3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4D0B2066-5306-4492-8500-FA60373F3545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BBE39E3B-51C7-4AE1-BFB6-F00946A66DB1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D882C931-96A9-4545-B912-16CC199FE32F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10C9976C-72FD-4BF0-A96D-9BD3E2C00E50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CD274239-830B-4BDF-9440-DBF586454948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2C7900F1-F5E1-45D2-B9C6-C6BD43D1B2DA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sharedStrings.xml><?xml version="1.0" encoding="utf-8"?>
<sst xmlns="http://schemas.openxmlformats.org/spreadsheetml/2006/main" count="798" uniqueCount="89">
  <si>
    <t>Q1, 2024</t>
  </si>
  <si>
    <t xml:space="preserve">COMPANY  SPECIFIC DATA </t>
  </si>
  <si>
    <t xml:space="preserve">Fire, Theft and Property (Private) </t>
  </si>
  <si>
    <t>Fire, Theft and Property  (Commercial)</t>
  </si>
  <si>
    <t>Motor Comprehensive</t>
  </si>
  <si>
    <t>Motor Third Party</t>
  </si>
  <si>
    <t>Motor Third Party, Fire &amp; Theft</t>
  </si>
  <si>
    <t>Motor - Others</t>
  </si>
  <si>
    <t>Accident- Public Liability</t>
  </si>
  <si>
    <t>Accident- Professional Indemnity</t>
  </si>
  <si>
    <t>Accident- Travel</t>
  </si>
  <si>
    <t>Workman Compensation/ Employer's Liability</t>
  </si>
  <si>
    <t>Accident- Personal</t>
  </si>
  <si>
    <t>Accident- Others</t>
  </si>
  <si>
    <t>Engineering</t>
  </si>
  <si>
    <t>Engineering- Others</t>
  </si>
  <si>
    <t>Bonds</t>
  </si>
  <si>
    <t>Marine Cargo</t>
  </si>
  <si>
    <t>Marine Hull</t>
  </si>
  <si>
    <t>Aviation</t>
  </si>
  <si>
    <t>Agriculture Weather Index</t>
  </si>
  <si>
    <t>Agriculture Area Index</t>
  </si>
  <si>
    <t>Agric Poultry &amp; Livestock</t>
  </si>
  <si>
    <t>Agric -Others</t>
  </si>
  <si>
    <t>Non-life microinsurance</t>
  </si>
  <si>
    <t>Insurance Service Revenue</t>
  </si>
  <si>
    <t>Total Insurance Service Expenses</t>
  </si>
  <si>
    <t>Insurance Results</t>
  </si>
  <si>
    <t>Total Incurred Claims</t>
  </si>
  <si>
    <t>Non-Attributable Expenses</t>
  </si>
  <si>
    <t>Acquisition Cashflow</t>
  </si>
  <si>
    <t>Total Attributable Expenses</t>
  </si>
  <si>
    <t>Insurance Service Results</t>
  </si>
  <si>
    <t>Investment Income</t>
  </si>
  <si>
    <t>Total Insurance Finance Income/ Expense</t>
  </si>
  <si>
    <t>Total Other Income/ Expense</t>
  </si>
  <si>
    <t>Profit After Tax</t>
  </si>
  <si>
    <t>Cash Balance</t>
  </si>
  <si>
    <t>Insurance Contract Assets</t>
  </si>
  <si>
    <t>Reinsurance Contract Assets</t>
  </si>
  <si>
    <t>Inv. Assets</t>
  </si>
  <si>
    <t>Receivables</t>
  </si>
  <si>
    <t>PPEs</t>
  </si>
  <si>
    <t>Total Assets</t>
  </si>
  <si>
    <t>Insurance Contract Liabilities</t>
  </si>
  <si>
    <t>Reinsurance Contract Liabilities</t>
  </si>
  <si>
    <t>Technical Results Margin</t>
  </si>
  <si>
    <t>Claims Ratio</t>
  </si>
  <si>
    <t>Expense Ratio</t>
  </si>
  <si>
    <t>Attributable Expense Ratio</t>
  </si>
  <si>
    <t>Non-attributable Expense Ratio</t>
  </si>
  <si>
    <t>Market Share</t>
  </si>
  <si>
    <t>Donewell Insurance Company Limited</t>
  </si>
  <si>
    <t>NON-LIFE INSURER</t>
  </si>
  <si>
    <t>Activa International Insurance Company Limited</t>
  </si>
  <si>
    <t>Allianz Insurance Company Limited</t>
  </si>
  <si>
    <t>Bedrock Insurance Company Limited</t>
  </si>
  <si>
    <t>Best Assurance Company Limited</t>
  </si>
  <si>
    <t>Coronation Insurance Ghana Limited</t>
  </si>
  <si>
    <t>Enterprise Insurance Company Limited</t>
  </si>
  <si>
    <t>Ghana Union Assurance Company Limited</t>
  </si>
  <si>
    <t>Glico General Insurance Company Limited</t>
  </si>
  <si>
    <t>Hollard Insurance Ghana Limited</t>
  </si>
  <si>
    <t>Imperial General Assurance Co. Ltd.</t>
  </si>
  <si>
    <t>Loyalty Insurance Company Limited</t>
  </si>
  <si>
    <t>Millennium Insurance Company Limited</t>
  </si>
  <si>
    <t>NSIA Ghana Insurance Company Limited</t>
  </si>
  <si>
    <t>Phoenix Insurance Company Limited</t>
  </si>
  <si>
    <t>Prime Insurance Company Limited</t>
  </si>
  <si>
    <t>Priority Insurance Company</t>
  </si>
  <si>
    <t>Provident Insurance Company Limited</t>
  </si>
  <si>
    <t>Quality Insurance Company Limited</t>
  </si>
  <si>
    <t>Sanlam Insurance Ghana Limited</t>
  </si>
  <si>
    <t>Serene Insurance Company Limited</t>
  </si>
  <si>
    <t>SIC Insurance Company Limited</t>
  </si>
  <si>
    <t>Star Assurance Company Limited</t>
  </si>
  <si>
    <t>Sunu Assurance Company Limited</t>
  </si>
  <si>
    <t>Unique Insurance Company Limited</t>
  </si>
  <si>
    <t>Vanguard Assurance Company Limited</t>
  </si>
  <si>
    <t>Total By Quarter</t>
  </si>
  <si>
    <t>Q2, 2024</t>
  </si>
  <si>
    <t>Q3, 2024</t>
  </si>
  <si>
    <t xml:space="preserve"> </t>
  </si>
  <si>
    <t>SanlamAllianz Insurance Ghana Limited</t>
  </si>
  <si>
    <t>Q4, 2024</t>
  </si>
  <si>
    <t>Total Liabilities</t>
  </si>
  <si>
    <t>Share of Insurance Service Results</t>
  </si>
  <si>
    <t>Q1 2025</t>
  </si>
  <si>
    <t>Q2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</si>
</sst>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\ #,##0.00\ \);_(* &quot;-&quot;??_);_(\ @_ \)"/>
    <numFmt numFmtId="165" formatCode="_(* #,##0_);_(* \(\ #,##0\ \);_(* &quot;-&quot;??_);_(\ @_ \)"/>
  </numFmts>
  <fonts count="15" x14ac:knownFonts="1">
    <font>
      <sz val="10"/>
      <name val="Tahoma"/>
    </font>
    <font>
      <sz val="11"/>
      <color theme="1"/>
      <name val="Calibri"/>
      <family val="2"/>
      <scheme val="minor"/>
    </font>
    <font>
      <b/>
      <sz val="18"/>
      <name val="Garamond"/>
      <family val="1"/>
    </font>
    <font>
      <sz val="16"/>
      <name val="Showcard Gothic"/>
      <family val="5"/>
    </font>
    <font>
      <sz val="9"/>
      <color theme="1"/>
      <name val="Calibri"/>
      <family val="2"/>
      <scheme val="minor"/>
    </font>
    <font>
      <sz val="10"/>
      <name val="Tahoma"/>
      <family val="2"/>
    </font>
    <font>
      <i/>
      <sz val="10"/>
      <name val="Tahoma"/>
      <family val="2"/>
    </font>
    <font>
      <b/>
      <sz val="12"/>
      <name val="Garamond"/>
      <family val="1"/>
    </font>
    <font>
      <sz val="11"/>
      <name val="Tahoma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sz val="12"/>
      <color rgb="FF303030"/>
      <name val="Garamond"/>
      <family val="1"/>
    </font>
    <font>
      <b/>
      <sz val="12"/>
      <color rgb="FF303030"/>
      <name val="Garamond"/>
      <family val="1"/>
    </font>
    <font>
      <b/>
      <sz val="9"/>
      <color indexed="81"/>
      <name val="Tahoma"/>
      <family val="2"/>
    </font>
    <font>
      <sz val="9"/>
      <color rgb="FF30303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4F7"/>
        <bgColor rgb="FFFFFFFF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3" applyFont="1" applyFill="1"/>
    <xf numFmtId="0" fontId="3" fillId="2" borderId="0" xfId="3" applyFont="1" applyFill="1" applyAlignment="1">
      <alignment horizontal="center"/>
    </xf>
    <xf numFmtId="0" fontId="4" fillId="3" borderId="0" xfId="3" applyFont="1" applyFill="1"/>
    <xf numFmtId="0" fontId="1" fillId="3" borderId="0" xfId="3" applyFill="1" applyAlignment="1">
      <alignment wrapText="1"/>
    </xf>
    <xf numFmtId="0" fontId="5" fillId="3" borderId="0" xfId="3" applyFont="1" applyFill="1" applyAlignment="1">
      <alignment wrapText="1"/>
    </xf>
    <xf numFmtId="0" fontId="6" fillId="3" borderId="0" xfId="3" applyFont="1" applyFill="1" applyAlignment="1">
      <alignment horizontal="right" wrapText="1"/>
    </xf>
    <xf numFmtId="0" fontId="7" fillId="4" borderId="0" xfId="3" applyFont="1" applyFill="1"/>
    <xf numFmtId="41" fontId="8" fillId="5" borderId="0" xfId="4" applyFont="1" applyFill="1" applyProtection="1">
      <protection hidden="1"/>
    </xf>
    <xf numFmtId="10" fontId="8" fillId="5" borderId="0" xfId="2" applyNumberFormat="1" applyFont="1" applyFill="1" applyProtection="1">
      <protection hidden="1"/>
    </xf>
    <xf numFmtId="0" fontId="1" fillId="0" borderId="0" xfId="3"/>
    <xf numFmtId="0" fontId="9" fillId="3" borderId="0" xfId="3" applyFont="1" applyFill="1" applyAlignment="1">
      <alignment vertical="center"/>
    </xf>
    <xf numFmtId="0" fontId="9" fillId="3" borderId="0" xfId="3" applyFont="1" applyFill="1" applyAlignment="1">
      <alignment horizontal="right" wrapText="1"/>
    </xf>
    <xf numFmtId="0" fontId="10" fillId="3" borderId="0" xfId="3" applyFont="1" applyFill="1" applyAlignment="1">
      <alignment horizontal="right" wrapText="1"/>
    </xf>
    <xf numFmtId="0" fontId="7" fillId="6" borderId="0" xfId="3" applyFont="1" applyFill="1"/>
    <xf numFmtId="165" fontId="11" fillId="7" borderId="1" xfId="1" applyNumberFormat="1" applyFont="1" applyFill="1" applyBorder="1" applyAlignment="1">
      <alignment horizontal="right" wrapText="1"/>
    </xf>
    <xf numFmtId="164" fontId="11" fillId="7" borderId="1" xfId="1" applyFont="1" applyFill="1" applyBorder="1" applyAlignment="1">
      <alignment horizontal="right" wrapText="1"/>
    </xf>
    <xf numFmtId="10" fontId="11" fillId="7" borderId="1" xfId="2" applyNumberFormat="1" applyFont="1" applyFill="1" applyBorder="1" applyAlignment="1">
      <alignment horizontal="right" wrapText="1"/>
    </xf>
    <xf numFmtId="4" fontId="11" fillId="7" borderId="1" xfId="1" applyNumberFormat="1" applyFont="1" applyFill="1" applyBorder="1" applyAlignment="1">
      <alignment horizontal="right" wrapText="1"/>
    </xf>
    <xf numFmtId="0" fontId="7" fillId="0" borderId="0" xfId="3" applyFont="1"/>
    <xf numFmtId="165" fontId="12" fillId="0" borderId="1" xfId="1" applyNumberFormat="1" applyFont="1" applyFill="1" applyBorder="1" applyAlignment="1">
      <alignment horizontal="right" wrapText="1"/>
    </xf>
    <xf numFmtId="10" fontId="12" fillId="0" borderId="1" xfId="2" applyNumberFormat="1" applyFont="1" applyFill="1" applyBorder="1" applyAlignment="1">
      <alignment horizontal="right" wrapText="1"/>
    </xf>
    <xf numFmtId="164" fontId="7" fillId="4" borderId="0" xfId="1" applyFont="1" applyFill="1"/>
    <xf numFmtId="164" fontId="8" fillId="5" borderId="0" xfId="1" applyFont="1" applyFill="1" applyProtection="1">
      <protection hidden="1"/>
    </xf>
    <xf numFmtId="4" fontId="14" fillId="7" borderId="1" xfId="0" applyNumberFormat="1" applyFont="1" applyFill="1" applyBorder="1" applyAlignment="1">
      <alignment horizontal="right" wrapText="1"/>
    </xf>
    <xf numFmtId="165" fontId="12" fillId="0" borderId="0" xfId="1" applyNumberFormat="1" applyFont="1" applyFill="1" applyAlignment="1">
      <alignment horizontal="right" wrapText="1"/>
    </xf>
    <xf numFmtId="164" fontId="12" fillId="0" borderId="0" xfId="1" applyFont="1" applyFill="1" applyAlignment="1">
      <alignment horizontal="right" wrapText="1"/>
    </xf>
    <xf numFmtId="10" fontId="12" fillId="0" borderId="0" xfId="2" applyNumberFormat="1" applyFont="1" applyFill="1" applyAlignment="1">
      <alignment horizontal="right" wrapText="1"/>
    </xf>
    <xf numFmtId="164" fontId="7" fillId="0" borderId="0" xfId="3" applyNumberFormat="1" applyFont="1"/>
  </cellXfs>
  <cellStyles count="5">
    <cellStyle name="Comma" xfId="1" builtinId="3"/>
    <cellStyle name="Comma [0] 2" xfId="4" xr:uid="{97EA0908-3317-4E8B-A8F3-C5E0200ADFFF}"/>
    <cellStyle name="Normal" xfId="0" builtinId="0"/>
    <cellStyle name="Normal 14" xfId="3" xr:uid="{C6BE5641-68D5-4F63-95BC-1119CD8291A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FB6-9DFA-4E30-9B4E-E131675DF565}">
  <dimension ref="A1:AY32"/>
  <sheetViews>
    <sheetView tabSelected="1" topLeftCell="Z25" workbookViewId="0">
      <selection activeCell="AB38" sqref="AB38"/>
    </sheetView>
  </sheetViews>
  <sheetFormatPr defaultRowHeight="13.2" x14ac:dyDescent="0.25"/>
  <cols>
    <col min="1" max="1" width="47.21875" bestFit="1" customWidth="1"/>
    <col min="2" max="2" width="45.77734375" bestFit="1" customWidth="1"/>
    <col min="3" max="3" width="36.44140625" bestFit="1" customWidth="1"/>
    <col min="4" max="4" width="21.21875" bestFit="1" customWidth="1"/>
    <col min="5" max="5" width="17" bestFit="1" customWidth="1"/>
    <col min="6" max="6" width="29.21875" bestFit="1" customWidth="1"/>
    <col min="7" max="7" width="14.21875" bestFit="1" customWidth="1"/>
    <col min="8" max="8" width="23.44140625" bestFit="1" customWidth="1"/>
    <col min="9" max="9" width="31.44140625" bestFit="1" customWidth="1"/>
    <col min="10" max="10" width="15.77734375" bestFit="1" customWidth="1"/>
    <col min="11" max="11" width="43.21875" bestFit="1" customWidth="1"/>
    <col min="12" max="12" width="18" bestFit="1" customWidth="1"/>
    <col min="13" max="13" width="16.21875" bestFit="1" customWidth="1"/>
    <col min="14" max="14" width="11.77734375" bestFit="1" customWidth="1"/>
    <col min="15" max="15" width="19.44140625" bestFit="1" customWidth="1"/>
    <col min="16" max="16" width="11.21875" bestFit="1" customWidth="1"/>
    <col min="17" max="17" width="13" bestFit="1" customWidth="1"/>
    <col min="18" max="18" width="11.21875" bestFit="1" customWidth="1"/>
    <col min="19" max="19" width="10.21875" bestFit="1" customWidth="1"/>
    <col min="20" max="20" width="25.44140625" bestFit="1" customWidth="1"/>
    <col min="21" max="21" width="21.77734375" bestFit="1" customWidth="1"/>
    <col min="22" max="22" width="23.77734375" bestFit="1" customWidth="1"/>
    <col min="23" max="23" width="13" bestFit="1" customWidth="1"/>
    <col min="24" max="24" width="22.77734375" bestFit="1" customWidth="1"/>
    <col min="25" max="25" width="26" bestFit="1" customWidth="1"/>
    <col min="26" max="26" width="19.44140625" bestFit="1" customWidth="1"/>
    <col min="27" max="27" width="17.44140625" bestFit="1" customWidth="1"/>
    <col min="28" max="28" width="14" bestFit="1" customWidth="1"/>
    <col min="29" max="29" width="16.44140625" bestFit="1" customWidth="1"/>
    <col min="30" max="30" width="17.77734375" bestFit="1" customWidth="1"/>
    <col min="31" max="31" width="17.21875" bestFit="1" customWidth="1"/>
    <col min="32" max="32" width="14.77734375" bestFit="1" customWidth="1"/>
    <col min="33" max="34" width="16.44140625" bestFit="1" customWidth="1"/>
    <col min="35" max="35" width="17.21875" bestFit="1" customWidth="1"/>
    <col min="36" max="36" width="14.77734375" bestFit="1" customWidth="1"/>
    <col min="37" max="37" width="13" bestFit="1" customWidth="1"/>
    <col min="38" max="38" width="18.44140625" bestFit="1" customWidth="1"/>
    <col min="39" max="39" width="18.21875" bestFit="1" customWidth="1"/>
    <col min="40" max="40" width="13.77734375" bestFit="1" customWidth="1"/>
    <col min="41" max="42" width="12.21875" bestFit="1" customWidth="1"/>
    <col min="43" max="43" width="13.77734375" bestFit="1" customWidth="1"/>
    <col min="44" max="44" width="16.44140625" bestFit="1" customWidth="1"/>
    <col min="45" max="45" width="18.77734375" bestFit="1" customWidth="1"/>
    <col min="46" max="46" width="15.21875" bestFit="1" customWidth="1"/>
    <col min="47" max="47" width="12.77734375" bestFit="1" customWidth="1"/>
    <col min="48" max="50" width="12.77734375" customWidth="1"/>
    <col min="51" max="51" width="8.77734375" bestFit="1" customWidth="1"/>
  </cols>
  <sheetData>
    <row r="1" spans="1:51" ht="23.4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53.4" x14ac:dyDescent="0.3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</row>
    <row r="3" spans="1:51" ht="15.6" x14ac:dyDescent="0.3">
      <c r="A3" s="7" t="s">
        <v>52</v>
      </c>
      <c r="B3" s="8">
        <f t="shared" ref="B3:AY3" si="0">INDEX(B6:B31,MATCH($A$3,$A$6:$A$31,0))</f>
        <v>268157.757979716</v>
      </c>
      <c r="C3" s="8">
        <f t="shared" si="0"/>
        <v>2069688.5320202799</v>
      </c>
      <c r="D3" s="8">
        <f t="shared" si="0"/>
        <v>8556292.7825821601</v>
      </c>
      <c r="E3" s="8">
        <f t="shared" si="0"/>
        <v>6238810.1923179701</v>
      </c>
      <c r="F3" s="8">
        <f t="shared" si="0"/>
        <v>9074.3650998677494</v>
      </c>
      <c r="G3" s="8">
        <f t="shared" si="0"/>
        <v>0</v>
      </c>
      <c r="H3" s="8">
        <f t="shared" si="0"/>
        <v>60021.860232441497</v>
      </c>
      <c r="I3" s="8">
        <f t="shared" si="0"/>
        <v>10882.7399652862</v>
      </c>
      <c r="J3" s="8">
        <f t="shared" si="0"/>
        <v>0</v>
      </c>
      <c r="K3" s="8">
        <f t="shared" si="0"/>
        <v>361999.87110688799</v>
      </c>
      <c r="L3" s="8">
        <f t="shared" si="0"/>
        <v>319435.04869538301</v>
      </c>
      <c r="M3" s="8">
        <f t="shared" si="0"/>
        <v>0</v>
      </c>
      <c r="N3" s="8">
        <f t="shared" si="0"/>
        <v>337491.92</v>
      </c>
      <c r="O3" s="8">
        <f t="shared" si="0"/>
        <v>0</v>
      </c>
      <c r="P3" s="8">
        <f t="shared" si="0"/>
        <v>801998.55</v>
      </c>
      <c r="Q3" s="8">
        <f t="shared" si="0"/>
        <v>441324.42</v>
      </c>
      <c r="R3" s="8">
        <f t="shared" si="0"/>
        <v>43950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19519128.039999999</v>
      </c>
      <c r="Z3" s="8">
        <f t="shared" si="0"/>
        <v>7431543</v>
      </c>
      <c r="AA3" s="8">
        <f t="shared" si="0"/>
        <v>12087585.039999999</v>
      </c>
      <c r="AB3" s="8">
        <f t="shared" si="0"/>
        <v>1350592</v>
      </c>
      <c r="AC3" s="8">
        <f t="shared" si="0"/>
        <v>5343201</v>
      </c>
      <c r="AD3" s="8">
        <f t="shared" si="0"/>
        <v>6080951</v>
      </c>
      <c r="AE3" s="8">
        <f t="shared" si="0"/>
        <v>7431543</v>
      </c>
      <c r="AF3" s="8">
        <f t="shared" si="0"/>
        <v>10453553.039999999</v>
      </c>
      <c r="AG3" s="8">
        <f t="shared" si="0"/>
        <v>2638862</v>
      </c>
      <c r="AH3" s="8">
        <f t="shared" si="0"/>
        <v>608726</v>
      </c>
      <c r="AI3" s="8">
        <f t="shared" si="0"/>
        <v>-4926378</v>
      </c>
      <c r="AJ3" s="8">
        <f t="shared" si="0"/>
        <v>6142334.04</v>
      </c>
      <c r="AK3" s="8">
        <f t="shared" si="0"/>
        <v>19307502</v>
      </c>
      <c r="AL3" s="8">
        <f t="shared" si="0"/>
        <v>2918392.03</v>
      </c>
      <c r="AM3" s="8">
        <f t="shared" si="0"/>
        <v>8087913.9699999997</v>
      </c>
      <c r="AN3" s="8">
        <f t="shared" si="0"/>
        <v>62363124</v>
      </c>
      <c r="AO3" s="8">
        <f t="shared" si="0"/>
        <v>12954373</v>
      </c>
      <c r="AP3" s="8">
        <f t="shared" si="0"/>
        <v>11702128</v>
      </c>
      <c r="AQ3" s="8">
        <f t="shared" si="0"/>
        <v>118252423</v>
      </c>
      <c r="AR3" s="8">
        <f t="shared" si="0"/>
        <v>46008760.599999897</v>
      </c>
      <c r="AS3" s="8">
        <f t="shared" si="0"/>
        <v>2806357</v>
      </c>
      <c r="AT3" s="9">
        <f t="shared" si="0"/>
        <v>0.60834394560834104</v>
      </c>
      <c r="AU3" s="9">
        <f t="shared" si="0"/>
        <v>3.7775444589827303E-2</v>
      </c>
      <c r="AV3" s="9">
        <f t="shared" si="0"/>
        <v>0.66482789883174698</v>
      </c>
      <c r="AW3" s="9">
        <f t="shared" si="0"/>
        <v>0.353880609801831</v>
      </c>
      <c r="AX3" s="9">
        <f t="shared" si="0"/>
        <v>0.31094728902991497</v>
      </c>
      <c r="AY3" s="9">
        <f t="shared" si="0"/>
        <v>1.9332300454869947E-2</v>
      </c>
    </row>
    <row r="4" spans="1:51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3" t="s">
        <v>44</v>
      </c>
      <c r="AS5" s="13" t="s">
        <v>45</v>
      </c>
      <c r="AT5" s="13" t="s">
        <v>46</v>
      </c>
      <c r="AU5" s="13" t="s">
        <v>47</v>
      </c>
      <c r="AV5" s="13" t="s">
        <v>48</v>
      </c>
      <c r="AW5" s="13" t="s">
        <v>49</v>
      </c>
      <c r="AX5" s="13" t="s">
        <v>50</v>
      </c>
      <c r="AY5" s="13" t="s">
        <v>51</v>
      </c>
    </row>
    <row r="6" spans="1:51" ht="15.6" x14ac:dyDescent="0.3">
      <c r="A6" s="14" t="s">
        <v>54</v>
      </c>
      <c r="B6" s="15">
        <v>0</v>
      </c>
      <c r="C6" s="15">
        <v>42408414.5</v>
      </c>
      <c r="D6" s="15">
        <v>4439862.59</v>
      </c>
      <c r="E6" s="15">
        <v>1521190.79</v>
      </c>
      <c r="F6" s="15">
        <v>0</v>
      </c>
      <c r="G6" s="15"/>
      <c r="H6" s="15">
        <v>758139.77999999898</v>
      </c>
      <c r="I6" s="15"/>
      <c r="J6" s="15">
        <v>135019.53</v>
      </c>
      <c r="K6" s="15">
        <v>582450</v>
      </c>
      <c r="L6" s="15"/>
      <c r="M6" s="15">
        <v>6399916.4699999997</v>
      </c>
      <c r="N6" s="15">
        <v>0</v>
      </c>
      <c r="O6" s="15">
        <v>440805.3</v>
      </c>
      <c r="P6" s="15">
        <v>3239922.04</v>
      </c>
      <c r="Q6" s="15">
        <v>5612555.79</v>
      </c>
      <c r="R6" s="15">
        <v>0</v>
      </c>
      <c r="S6" s="15">
        <v>395721.25</v>
      </c>
      <c r="T6" s="15"/>
      <c r="U6" s="15"/>
      <c r="V6" s="15"/>
      <c r="W6" s="15"/>
      <c r="X6" s="15"/>
      <c r="Y6" s="15">
        <v>65933998.039999999</v>
      </c>
      <c r="Z6" s="15">
        <v>155692106.80000001</v>
      </c>
      <c r="AA6" s="15">
        <v>-89758108.739999995</v>
      </c>
      <c r="AB6" s="15">
        <v>148766967.41</v>
      </c>
      <c r="AC6" s="15">
        <v>9547542.0800000001</v>
      </c>
      <c r="AD6" s="15">
        <v>6925139.3399999999</v>
      </c>
      <c r="AE6" s="15">
        <v>155692106.75</v>
      </c>
      <c r="AF6" s="15">
        <v>11480795.710000001</v>
      </c>
      <c r="AG6" s="15">
        <v>766956.63</v>
      </c>
      <c r="AH6" s="15">
        <v>0</v>
      </c>
      <c r="AI6" s="15">
        <v>-9402584.8000000007</v>
      </c>
      <c r="AJ6" s="15">
        <v>2845167.54</v>
      </c>
      <c r="AK6" s="15">
        <v>71487996.399999902</v>
      </c>
      <c r="AL6" s="15">
        <v>0</v>
      </c>
      <c r="AM6" s="15">
        <v>214671789.59999999</v>
      </c>
      <c r="AN6" s="15">
        <v>47568056.409999996</v>
      </c>
      <c r="AO6" s="15">
        <v>6158396.3099999996</v>
      </c>
      <c r="AP6" s="15">
        <v>56186852.75</v>
      </c>
      <c r="AQ6" s="15">
        <v>396127151</v>
      </c>
      <c r="AR6" s="16">
        <v>295397832.5</v>
      </c>
      <c r="AS6" s="16">
        <v>0</v>
      </c>
      <c r="AT6" s="17">
        <v>0.51413920166541605</v>
      </c>
      <c r="AU6" s="17">
        <v>0.17573546323002101</v>
      </c>
      <c r="AV6" s="17">
        <v>0.73768852686671005</v>
      </c>
      <c r="AW6" s="17">
        <v>0.31012533465673597</v>
      </c>
      <c r="AX6" s="17">
        <v>0.42756319220997302</v>
      </c>
      <c r="AY6" s="17">
        <f>Y6/$Y$32</f>
        <v>6.5302909929581376E-2</v>
      </c>
    </row>
    <row r="7" spans="1:51" ht="15.6" x14ac:dyDescent="0.3">
      <c r="A7" s="14" t="s">
        <v>55</v>
      </c>
      <c r="B7" s="15"/>
      <c r="C7" s="15">
        <v>3393293</v>
      </c>
      <c r="D7" s="15">
        <v>12042125</v>
      </c>
      <c r="E7" s="15"/>
      <c r="F7" s="15"/>
      <c r="G7" s="15"/>
      <c r="H7" s="15"/>
      <c r="I7" s="15">
        <v>1949936</v>
      </c>
      <c r="J7" s="15">
        <v>173573</v>
      </c>
      <c r="K7" s="15">
        <v>316523</v>
      </c>
      <c r="L7" s="15">
        <v>74094</v>
      </c>
      <c r="M7" s="15"/>
      <c r="N7" s="15">
        <v>567166</v>
      </c>
      <c r="O7" s="15">
        <v>218276</v>
      </c>
      <c r="P7" s="15"/>
      <c r="Q7" s="15">
        <v>1570837</v>
      </c>
      <c r="R7" s="15"/>
      <c r="S7" s="15">
        <v>31008</v>
      </c>
      <c r="T7" s="15"/>
      <c r="U7" s="15"/>
      <c r="V7" s="15"/>
      <c r="W7" s="15"/>
      <c r="X7" s="15"/>
      <c r="Y7" s="15">
        <v>20336831</v>
      </c>
      <c r="Z7" s="15">
        <v>9653899</v>
      </c>
      <c r="AA7" s="15">
        <v>10682932</v>
      </c>
      <c r="AB7" s="15">
        <v>6659703</v>
      </c>
      <c r="AC7" s="15">
        <v>6671915</v>
      </c>
      <c r="AD7" s="15">
        <v>2994196</v>
      </c>
      <c r="AE7" s="15">
        <v>9653899</v>
      </c>
      <c r="AF7" s="15">
        <v>6569472</v>
      </c>
      <c r="AG7" s="15">
        <v>2880252</v>
      </c>
      <c r="AH7" s="15">
        <v>0</v>
      </c>
      <c r="AI7" s="15">
        <v>-6671915</v>
      </c>
      <c r="AJ7" s="15">
        <v>2777809</v>
      </c>
      <c r="AK7" s="15">
        <v>32060642</v>
      </c>
      <c r="AL7" s="15">
        <v>4363436</v>
      </c>
      <c r="AM7" s="15">
        <v>4189839</v>
      </c>
      <c r="AN7" s="15">
        <v>86396413</v>
      </c>
      <c r="AO7" s="15">
        <v>5780142</v>
      </c>
      <c r="AP7" s="15">
        <v>1476234</v>
      </c>
      <c r="AQ7" s="15">
        <v>137484251</v>
      </c>
      <c r="AR7" s="16">
        <v>46518947</v>
      </c>
      <c r="AS7" s="16">
        <v>656156</v>
      </c>
      <c r="AT7" s="17">
        <v>0.42702240773803302</v>
      </c>
      <c r="AU7" s="17">
        <v>0.378351785932387</v>
      </c>
      <c r="AV7" s="17">
        <v>0.62830711397857997</v>
      </c>
      <c r="AW7" s="17">
        <v>0.19462580632957799</v>
      </c>
      <c r="AX7" s="17">
        <v>0.43368130764900198</v>
      </c>
      <c r="AY7" s="17">
        <f>Y7/$Y$32</f>
        <v>2.0142176760469331E-2</v>
      </c>
    </row>
    <row r="8" spans="1:51" ht="15.6" x14ac:dyDescent="0.3">
      <c r="A8" s="14" t="s">
        <v>56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6"/>
      <c r="AS8" s="16"/>
      <c r="AT8" s="17"/>
      <c r="AU8" s="17"/>
      <c r="AV8" s="17"/>
      <c r="AW8" s="17"/>
      <c r="AX8" s="17"/>
      <c r="AY8" s="17"/>
    </row>
    <row r="9" spans="1:51" ht="15.6" x14ac:dyDescent="0.3">
      <c r="A9" s="14" t="s">
        <v>57</v>
      </c>
      <c r="B9" s="15">
        <v>58964</v>
      </c>
      <c r="C9" s="15"/>
      <c r="D9" s="15">
        <v>1283339</v>
      </c>
      <c r="E9" s="15"/>
      <c r="F9" s="15"/>
      <c r="G9" s="15"/>
      <c r="H9" s="15">
        <v>198835</v>
      </c>
      <c r="I9" s="15"/>
      <c r="J9" s="15"/>
      <c r="K9" s="15"/>
      <c r="L9" s="15"/>
      <c r="M9" s="15"/>
      <c r="N9" s="15">
        <v>46165</v>
      </c>
      <c r="O9" s="15"/>
      <c r="P9" s="15">
        <v>48414</v>
      </c>
      <c r="Q9" s="15">
        <v>5497</v>
      </c>
      <c r="R9" s="15"/>
      <c r="S9" s="15"/>
      <c r="T9" s="15"/>
      <c r="U9" s="15"/>
      <c r="V9" s="15"/>
      <c r="W9" s="15"/>
      <c r="X9" s="15"/>
      <c r="Y9" s="15">
        <v>1641214</v>
      </c>
      <c r="Z9" s="15">
        <v>380696</v>
      </c>
      <c r="AA9" s="15">
        <v>1260518</v>
      </c>
      <c r="AB9" s="15">
        <v>138052</v>
      </c>
      <c r="AC9" s="15">
        <v>1745668</v>
      </c>
      <c r="AD9" s="15">
        <v>242644</v>
      </c>
      <c r="AE9" s="15">
        <v>380696</v>
      </c>
      <c r="AF9" s="15">
        <v>976279</v>
      </c>
      <c r="AG9" s="15">
        <v>60499</v>
      </c>
      <c r="AH9" s="15">
        <v>-105488</v>
      </c>
      <c r="AI9" s="15">
        <v>-1825667</v>
      </c>
      <c r="AJ9" s="15">
        <v>-894377</v>
      </c>
      <c r="AK9" s="15">
        <v>120115</v>
      </c>
      <c r="AL9" s="15">
        <v>0</v>
      </c>
      <c r="AM9" s="15">
        <v>2602139</v>
      </c>
      <c r="AN9" s="15">
        <v>2472261</v>
      </c>
      <c r="AO9" s="15">
        <v>22818294</v>
      </c>
      <c r="AP9" s="15">
        <v>718048</v>
      </c>
      <c r="AQ9" s="15">
        <v>29467208</v>
      </c>
      <c r="AR9" s="16">
        <v>1911150</v>
      </c>
      <c r="AS9" s="16">
        <v>3030262</v>
      </c>
      <c r="AT9" s="17">
        <v>0.74812084522692002</v>
      </c>
      <c r="AU9" s="17">
        <v>6.5941493132052303E-2</v>
      </c>
      <c r="AV9" s="17">
        <v>1.52363991647349</v>
      </c>
      <c r="AW9" s="17">
        <v>0.18593766164102701</v>
      </c>
      <c r="AX9" s="17">
        <v>1.33770225483246</v>
      </c>
      <c r="AY9" s="17">
        <f t="shared" ref="AY9:AY31" si="1">Y9/$Y$32</f>
        <v>1.6255050990863283E-3</v>
      </c>
    </row>
    <row r="10" spans="1:51" ht="15.6" x14ac:dyDescent="0.3">
      <c r="A10" s="14" t="s">
        <v>58</v>
      </c>
      <c r="B10" s="15">
        <v>146066</v>
      </c>
      <c r="C10" s="15">
        <v>3750625</v>
      </c>
      <c r="D10" s="15">
        <v>6316630</v>
      </c>
      <c r="E10" s="15">
        <v>1883142</v>
      </c>
      <c r="F10" s="15">
        <v>7642</v>
      </c>
      <c r="G10" s="15"/>
      <c r="H10" s="15">
        <v>93641</v>
      </c>
      <c r="I10" s="15">
        <v>213817</v>
      </c>
      <c r="J10" s="15">
        <v>2690</v>
      </c>
      <c r="K10" s="15">
        <v>140912</v>
      </c>
      <c r="L10" s="15">
        <v>93311</v>
      </c>
      <c r="M10" s="15">
        <v>2147092</v>
      </c>
      <c r="N10" s="15">
        <v>174059</v>
      </c>
      <c r="O10" s="15">
        <v>210642</v>
      </c>
      <c r="P10" s="15"/>
      <c r="Q10" s="15">
        <v>159810</v>
      </c>
      <c r="R10" s="15">
        <v>9529</v>
      </c>
      <c r="S10" s="15"/>
      <c r="T10" s="15"/>
      <c r="U10" s="15"/>
      <c r="V10" s="15"/>
      <c r="W10" s="15"/>
      <c r="X10" s="15"/>
      <c r="Y10" s="15">
        <v>15349608</v>
      </c>
      <c r="Z10" s="15">
        <v>3766615</v>
      </c>
      <c r="AA10" s="15">
        <v>11582993</v>
      </c>
      <c r="AB10" s="15">
        <v>1537146</v>
      </c>
      <c r="AC10" s="15">
        <v>7283066</v>
      </c>
      <c r="AD10" s="18">
        <v>2229469</v>
      </c>
      <c r="AE10" s="15">
        <v>3766615</v>
      </c>
      <c r="AF10" s="15">
        <v>7247594</v>
      </c>
      <c r="AG10" s="15">
        <v>2370785</v>
      </c>
      <c r="AH10" s="15">
        <v>-639345</v>
      </c>
      <c r="AI10" s="15">
        <v>-1861069</v>
      </c>
      <c r="AJ10" s="15">
        <v>5047641</v>
      </c>
      <c r="AK10" s="15">
        <v>18166437</v>
      </c>
      <c r="AL10" s="15">
        <v>0</v>
      </c>
      <c r="AM10" s="15">
        <v>20692623</v>
      </c>
      <c r="AN10" s="15">
        <v>74000000</v>
      </c>
      <c r="AO10" s="15">
        <v>512322</v>
      </c>
      <c r="AP10" s="15">
        <v>11949344</v>
      </c>
      <c r="AQ10" s="15">
        <v>125320726</v>
      </c>
      <c r="AR10" s="16">
        <v>48957483</v>
      </c>
      <c r="AS10" s="16">
        <v>0</v>
      </c>
      <c r="AT10" s="17">
        <v>0.59799508606644503</v>
      </c>
      <c r="AU10" s="17">
        <v>0.21805262486528201</v>
      </c>
      <c r="AV10" s="17">
        <v>0.78487415079198297</v>
      </c>
      <c r="AW10" s="17">
        <v>0.18395228906827099</v>
      </c>
      <c r="AX10" s="17">
        <v>0.60092186172371098</v>
      </c>
      <c r="AY10" s="17">
        <f t="shared" si="1"/>
        <v>1.5202689029569755E-2</v>
      </c>
    </row>
    <row r="11" spans="1:51" ht="15.6" x14ac:dyDescent="0.3">
      <c r="A11" s="14" t="s">
        <v>52</v>
      </c>
      <c r="B11" s="15">
        <v>268157.757979716</v>
      </c>
      <c r="C11" s="15">
        <v>2069688.5320202799</v>
      </c>
      <c r="D11" s="15">
        <v>8556292.7825821601</v>
      </c>
      <c r="E11" s="15">
        <v>6238810.1923179701</v>
      </c>
      <c r="F11" s="15">
        <v>9074.3650998677494</v>
      </c>
      <c r="G11" s="15"/>
      <c r="H11" s="15">
        <v>60021.860232441497</v>
      </c>
      <c r="I11" s="15">
        <v>10882.7399652862</v>
      </c>
      <c r="J11" s="15">
        <v>0</v>
      </c>
      <c r="K11" s="15">
        <v>361999.87110688799</v>
      </c>
      <c r="L11" s="15">
        <v>319435.04869538301</v>
      </c>
      <c r="M11" s="15"/>
      <c r="N11" s="15">
        <v>337491.92</v>
      </c>
      <c r="O11" s="15"/>
      <c r="P11" s="15">
        <v>801998.55</v>
      </c>
      <c r="Q11" s="15">
        <v>441324.42</v>
      </c>
      <c r="R11" s="15">
        <v>43950</v>
      </c>
      <c r="S11" s="15"/>
      <c r="T11" s="15"/>
      <c r="U11" s="15"/>
      <c r="V11" s="15"/>
      <c r="W11" s="15"/>
      <c r="X11" s="15"/>
      <c r="Y11" s="15">
        <v>19519128.039999999</v>
      </c>
      <c r="Z11" s="15">
        <v>7431543</v>
      </c>
      <c r="AA11" s="15">
        <v>12087585.039999999</v>
      </c>
      <c r="AB11" s="15">
        <v>1350592</v>
      </c>
      <c r="AC11" s="15">
        <v>5343201</v>
      </c>
      <c r="AD11" s="18">
        <v>6080951</v>
      </c>
      <c r="AE11" s="15">
        <v>7431543</v>
      </c>
      <c r="AF11" s="15">
        <v>10453553.039999999</v>
      </c>
      <c r="AG11" s="15">
        <v>2638862</v>
      </c>
      <c r="AH11" s="15">
        <v>608726</v>
      </c>
      <c r="AI11" s="15">
        <v>-4926378</v>
      </c>
      <c r="AJ11" s="15">
        <v>6142334.04</v>
      </c>
      <c r="AK11" s="15">
        <v>19307502</v>
      </c>
      <c r="AL11" s="15">
        <v>2918392.03</v>
      </c>
      <c r="AM11" s="15">
        <v>8087913.9699999997</v>
      </c>
      <c r="AN11" s="15">
        <v>62363124</v>
      </c>
      <c r="AO11" s="15">
        <v>12954373</v>
      </c>
      <c r="AP11" s="15">
        <v>11702128</v>
      </c>
      <c r="AQ11" s="15">
        <v>118252423</v>
      </c>
      <c r="AR11" s="16">
        <v>46008760.599999897</v>
      </c>
      <c r="AS11" s="16">
        <v>2806357</v>
      </c>
      <c r="AT11" s="17">
        <v>0.60834394560834104</v>
      </c>
      <c r="AU11" s="17">
        <v>3.7775444589827303E-2</v>
      </c>
      <c r="AV11" s="17">
        <v>0.66482789883174698</v>
      </c>
      <c r="AW11" s="17">
        <v>0.353880609801831</v>
      </c>
      <c r="AX11" s="17">
        <v>0.31094728902991497</v>
      </c>
      <c r="AY11" s="17">
        <f t="shared" si="1"/>
        <v>1.9332300454869947E-2</v>
      </c>
    </row>
    <row r="12" spans="1:51" ht="15.6" x14ac:dyDescent="0.3">
      <c r="A12" s="14" t="s">
        <v>59</v>
      </c>
      <c r="B12" s="15">
        <v>2582780</v>
      </c>
      <c r="C12" s="15">
        <v>40898496</v>
      </c>
      <c r="D12" s="15">
        <v>53109345</v>
      </c>
      <c r="E12" s="15">
        <v>7352661</v>
      </c>
      <c r="F12" s="15">
        <v>475227</v>
      </c>
      <c r="G12" s="15">
        <v>0</v>
      </c>
      <c r="H12" s="15">
        <v>2607465</v>
      </c>
      <c r="I12" s="15">
        <v>1142893</v>
      </c>
      <c r="J12" s="15">
        <v>491589</v>
      </c>
      <c r="K12" s="15">
        <v>3237218</v>
      </c>
      <c r="L12" s="15">
        <v>2111564</v>
      </c>
      <c r="M12" s="15">
        <v>6865521</v>
      </c>
      <c r="N12" s="15">
        <v>12165122</v>
      </c>
      <c r="O12" s="15">
        <v>4837156</v>
      </c>
      <c r="P12" s="15">
        <v>2907641</v>
      </c>
      <c r="Q12" s="15">
        <v>3853910</v>
      </c>
      <c r="R12" s="15">
        <v>5317768</v>
      </c>
      <c r="S12" s="15">
        <v>429343</v>
      </c>
      <c r="T12" s="15">
        <v>0</v>
      </c>
      <c r="U12" s="15">
        <v>1670</v>
      </c>
      <c r="V12" s="15">
        <v>0</v>
      </c>
      <c r="W12" s="15">
        <v>0</v>
      </c>
      <c r="X12" s="15">
        <v>0</v>
      </c>
      <c r="Y12" s="15">
        <v>150387369</v>
      </c>
      <c r="Z12" s="15">
        <v>254857787</v>
      </c>
      <c r="AA12" s="15">
        <v>-104470418</v>
      </c>
      <c r="AB12" s="15">
        <v>231552192</v>
      </c>
      <c r="AC12" s="15">
        <v>37302560</v>
      </c>
      <c r="AD12" s="15">
        <v>23305595</v>
      </c>
      <c r="AE12" s="15">
        <v>254857787</v>
      </c>
      <c r="AF12" s="15">
        <v>68290411</v>
      </c>
      <c r="AG12" s="15">
        <v>12356918</v>
      </c>
      <c r="AH12" s="15">
        <v>-3433154</v>
      </c>
      <c r="AI12" s="15">
        <v>-35064511</v>
      </c>
      <c r="AJ12" s="15">
        <v>39035539</v>
      </c>
      <c r="AK12" s="15">
        <v>141045445</v>
      </c>
      <c r="AL12" s="15">
        <v>0</v>
      </c>
      <c r="AM12" s="15">
        <v>171988653</v>
      </c>
      <c r="AN12" s="15">
        <v>265003800</v>
      </c>
      <c r="AO12" s="15">
        <v>114303987</v>
      </c>
      <c r="AP12" s="15">
        <v>19365985</v>
      </c>
      <c r="AQ12" s="15">
        <v>711707870</v>
      </c>
      <c r="AR12" s="16">
        <v>348856521</v>
      </c>
      <c r="AS12" s="16">
        <v>0</v>
      </c>
      <c r="AT12" s="17">
        <v>0.74821673437079805</v>
      </c>
      <c r="AU12" s="17">
        <v>-3.5620446145509998E-3</v>
      </c>
      <c r="AV12" s="17">
        <v>0.66404690126025301</v>
      </c>
      <c r="AW12" s="17">
        <v>0.25534531024375201</v>
      </c>
      <c r="AX12" s="17">
        <v>0.4087015910165</v>
      </c>
      <c r="AY12" s="17">
        <f t="shared" si="1"/>
        <v>0.1489479343630247</v>
      </c>
    </row>
    <row r="13" spans="1:51" ht="15.6" x14ac:dyDescent="0.3">
      <c r="A13" s="14" t="s">
        <v>60</v>
      </c>
      <c r="B13" s="15"/>
      <c r="C13" s="15">
        <v>49947744</v>
      </c>
      <c r="D13" s="15">
        <v>38074145</v>
      </c>
      <c r="E13" s="15"/>
      <c r="F13" s="15"/>
      <c r="G13" s="15"/>
      <c r="H13" s="15"/>
      <c r="I13" s="15"/>
      <c r="J13" s="15"/>
      <c r="K13" s="15">
        <v>10680357</v>
      </c>
      <c r="L13" s="15"/>
      <c r="M13" s="15">
        <v>11869963</v>
      </c>
      <c r="N13" s="15">
        <v>7049357</v>
      </c>
      <c r="O13" s="15"/>
      <c r="P13" s="15">
        <v>4763165</v>
      </c>
      <c r="Q13" s="15">
        <v>2967379</v>
      </c>
      <c r="R13" s="15"/>
      <c r="S13" s="15"/>
      <c r="T13" s="15"/>
      <c r="U13" s="15"/>
      <c r="V13" s="15"/>
      <c r="W13" s="15"/>
      <c r="X13" s="15"/>
      <c r="Y13" s="15">
        <v>125352110</v>
      </c>
      <c r="Z13" s="15">
        <v>14409571</v>
      </c>
      <c r="AA13" s="15">
        <v>110942539</v>
      </c>
      <c r="AB13" s="15">
        <v>6493565</v>
      </c>
      <c r="AC13" s="15">
        <v>1234866</v>
      </c>
      <c r="AD13" s="18">
        <v>7916006</v>
      </c>
      <c r="AE13" s="15">
        <v>14409571</v>
      </c>
      <c r="AF13" s="15">
        <v>25820634</v>
      </c>
      <c r="AG13" s="15">
        <v>5833527</v>
      </c>
      <c r="AH13" s="15">
        <v>0</v>
      </c>
      <c r="AI13" s="15">
        <v>-1234866</v>
      </c>
      <c r="AJ13" s="15">
        <v>23219229</v>
      </c>
      <c r="AK13" s="15">
        <v>74602232</v>
      </c>
      <c r="AL13" s="15">
        <v>0</v>
      </c>
      <c r="AM13" s="15">
        <v>223956758</v>
      </c>
      <c r="AN13" s="15">
        <v>147099542</v>
      </c>
      <c r="AO13" s="15">
        <v>626640</v>
      </c>
      <c r="AP13" s="15">
        <v>49096733</v>
      </c>
      <c r="AQ13" s="15">
        <v>495951697</v>
      </c>
      <c r="AR13" s="16">
        <v>284312308</v>
      </c>
      <c r="AS13" s="16">
        <v>4065827</v>
      </c>
      <c r="AT13" s="17">
        <v>0.56148856662729996</v>
      </c>
      <c r="AU13" s="17">
        <v>0.26637209464255401</v>
      </c>
      <c r="AV13" s="17">
        <v>0.198992402846107</v>
      </c>
      <c r="AW13" s="17">
        <v>0.172139338730145</v>
      </c>
      <c r="AX13" s="17">
        <v>2.6853064115961899E-2</v>
      </c>
      <c r="AY13" s="17">
        <f t="shared" si="1"/>
        <v>0.12415230066659821</v>
      </c>
    </row>
    <row r="14" spans="1:51" ht="15.6" x14ac:dyDescent="0.3">
      <c r="A14" s="14" t="s">
        <v>61</v>
      </c>
      <c r="B14" s="15">
        <v>215835</v>
      </c>
      <c r="C14" s="15">
        <v>29181734</v>
      </c>
      <c r="D14" s="15">
        <v>6758277</v>
      </c>
      <c r="E14" s="15">
        <v>2495966</v>
      </c>
      <c r="F14" s="15">
        <v>0</v>
      </c>
      <c r="G14" s="15">
        <v>267013</v>
      </c>
      <c r="H14" s="15">
        <v>4597680</v>
      </c>
      <c r="I14" s="15">
        <v>96533</v>
      </c>
      <c r="J14" s="15">
        <v>0</v>
      </c>
      <c r="K14" s="15">
        <v>380221</v>
      </c>
      <c r="L14" s="15">
        <v>92448</v>
      </c>
      <c r="M14" s="15">
        <v>3244137</v>
      </c>
      <c r="N14" s="15">
        <v>4821025</v>
      </c>
      <c r="O14" s="15">
        <v>70202</v>
      </c>
      <c r="P14" s="15">
        <v>2892923</v>
      </c>
      <c r="Q14" s="15">
        <v>5066628</v>
      </c>
      <c r="R14" s="15">
        <v>3180082</v>
      </c>
      <c r="S14" s="15">
        <v>0</v>
      </c>
      <c r="T14" s="15">
        <v>0</v>
      </c>
      <c r="U14" s="15">
        <v>48904</v>
      </c>
      <c r="V14" s="15"/>
      <c r="W14" s="15"/>
      <c r="X14" s="15"/>
      <c r="Y14" s="15">
        <v>63409608</v>
      </c>
      <c r="Z14" s="15">
        <v>24754171</v>
      </c>
      <c r="AA14" s="15">
        <v>38655437</v>
      </c>
      <c r="AB14" s="15">
        <v>6193460</v>
      </c>
      <c r="AC14" s="15">
        <v>4488137</v>
      </c>
      <c r="AD14" s="18">
        <v>18560711</v>
      </c>
      <c r="AE14" s="15">
        <v>24754171</v>
      </c>
      <c r="AF14" s="15">
        <v>27016369</v>
      </c>
      <c r="AG14" s="15">
        <v>2343172</v>
      </c>
      <c r="AH14" s="15">
        <v>-1682687</v>
      </c>
      <c r="AI14" s="15">
        <v>-4488137</v>
      </c>
      <c r="AJ14" s="15">
        <v>22955408</v>
      </c>
      <c r="AK14" s="15">
        <v>8769180</v>
      </c>
      <c r="AL14" s="15">
        <v>0</v>
      </c>
      <c r="AM14" s="15">
        <v>194143669</v>
      </c>
      <c r="AN14" s="15">
        <v>175599250</v>
      </c>
      <c r="AO14" s="15">
        <v>12377860</v>
      </c>
      <c r="AP14" s="15">
        <v>10982853</v>
      </c>
      <c r="AQ14" s="15">
        <v>406165054</v>
      </c>
      <c r="AR14" s="16">
        <v>224481290</v>
      </c>
      <c r="AS14" s="16">
        <v>0</v>
      </c>
      <c r="AT14" s="17">
        <v>0.55139636425845096</v>
      </c>
      <c r="AU14" s="17">
        <v>6.9784832835360106E-2</v>
      </c>
      <c r="AV14" s="17">
        <v>0.470420395410859</v>
      </c>
      <c r="AW14" s="17">
        <v>0.37881880290618802</v>
      </c>
      <c r="AX14" s="17">
        <v>9.16015925046713E-2</v>
      </c>
      <c r="AY14" s="17">
        <f t="shared" si="1"/>
        <v>6.2802682121323145E-2</v>
      </c>
    </row>
    <row r="15" spans="1:51" ht="15.6" x14ac:dyDescent="0.3">
      <c r="A15" s="14" t="s">
        <v>62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6"/>
      <c r="AS15" s="16"/>
      <c r="AT15" s="17"/>
      <c r="AU15" s="17"/>
      <c r="AV15" s="17"/>
      <c r="AW15" s="17"/>
      <c r="AX15" s="17"/>
      <c r="AY15" s="17"/>
    </row>
    <row r="16" spans="1:51" ht="15.6" x14ac:dyDescent="0.3">
      <c r="A16" s="14" t="s">
        <v>63</v>
      </c>
      <c r="B16" s="15">
        <v>313519</v>
      </c>
      <c r="C16" s="15">
        <v>1254074</v>
      </c>
      <c r="D16" s="15">
        <v>6848348</v>
      </c>
      <c r="E16" s="15">
        <v>2935006</v>
      </c>
      <c r="F16" s="15"/>
      <c r="G16" s="15"/>
      <c r="H16" s="15">
        <v>314517</v>
      </c>
      <c r="I16" s="15">
        <v>209678</v>
      </c>
      <c r="J16" s="15">
        <v>52419</v>
      </c>
      <c r="K16" s="15">
        <v>104839</v>
      </c>
      <c r="L16" s="15">
        <v>366936</v>
      </c>
      <c r="M16" s="15"/>
      <c r="N16" s="15">
        <v>1097919</v>
      </c>
      <c r="O16" s="15"/>
      <c r="P16" s="15">
        <v>3045438</v>
      </c>
      <c r="Q16" s="15">
        <v>71443</v>
      </c>
      <c r="R16" s="15"/>
      <c r="S16" s="15"/>
      <c r="T16" s="15"/>
      <c r="U16" s="15"/>
      <c r="V16" s="15"/>
      <c r="W16" s="15"/>
      <c r="X16" s="15"/>
      <c r="Y16" s="15">
        <v>16614136</v>
      </c>
      <c r="Z16" s="15">
        <v>10320190</v>
      </c>
      <c r="AA16" s="15">
        <v>6293946</v>
      </c>
      <c r="AB16" s="15">
        <v>10320190</v>
      </c>
      <c r="AC16" s="15">
        <v>2879153</v>
      </c>
      <c r="AD16" s="18">
        <v>0</v>
      </c>
      <c r="AE16" s="15">
        <v>10320190</v>
      </c>
      <c r="AF16" s="15">
        <v>2136749</v>
      </c>
      <c r="AG16" s="15">
        <v>2642465</v>
      </c>
      <c r="AH16" s="15">
        <v>151476</v>
      </c>
      <c r="AI16" s="15">
        <v>-2879153</v>
      </c>
      <c r="AJ16" s="15">
        <v>2051537</v>
      </c>
      <c r="AK16" s="15">
        <v>2541234</v>
      </c>
      <c r="AL16" s="15">
        <v>0</v>
      </c>
      <c r="AM16" s="15">
        <v>0</v>
      </c>
      <c r="AN16" s="15">
        <v>69253231</v>
      </c>
      <c r="AO16" s="15">
        <v>12198349</v>
      </c>
      <c r="AP16" s="15">
        <v>8365623</v>
      </c>
      <c r="AQ16" s="15">
        <v>92358437</v>
      </c>
      <c r="AR16" s="16">
        <v>31440010</v>
      </c>
      <c r="AS16" s="16">
        <v>3022975</v>
      </c>
      <c r="AT16" s="17">
        <v>0.171530823101887</v>
      </c>
      <c r="AU16" s="17">
        <v>0.82846917689811195</v>
      </c>
      <c r="AV16" s="17">
        <v>0.231128449774057</v>
      </c>
      <c r="AW16" s="17"/>
      <c r="AX16" s="17">
        <v>0.231128449774057</v>
      </c>
      <c r="AY16" s="17">
        <f t="shared" si="1"/>
        <v>1.6455113583550795E-2</v>
      </c>
    </row>
    <row r="17" spans="1:51" ht="15.6" x14ac:dyDescent="0.3">
      <c r="A17" s="14" t="s">
        <v>64</v>
      </c>
      <c r="B17" s="15">
        <v>76914</v>
      </c>
      <c r="C17" s="15">
        <v>307656</v>
      </c>
      <c r="D17" s="15">
        <v>8646264</v>
      </c>
      <c r="E17" s="15">
        <v>3613364</v>
      </c>
      <c r="F17" s="15">
        <v>645243</v>
      </c>
      <c r="G17" s="15"/>
      <c r="H17" s="15">
        <v>937464</v>
      </c>
      <c r="I17" s="15">
        <v>25426</v>
      </c>
      <c r="J17" s="15"/>
      <c r="K17" s="15">
        <v>74325</v>
      </c>
      <c r="L17" s="15">
        <v>11736</v>
      </c>
      <c r="M17" s="15">
        <v>84104</v>
      </c>
      <c r="N17" s="15">
        <v>294452</v>
      </c>
      <c r="O17" s="15">
        <v>196303</v>
      </c>
      <c r="P17" s="15">
        <v>505920</v>
      </c>
      <c r="Q17" s="15">
        <v>8255</v>
      </c>
      <c r="R17" s="15">
        <v>917</v>
      </c>
      <c r="S17" s="15"/>
      <c r="T17" s="15"/>
      <c r="U17" s="15"/>
      <c r="V17" s="15"/>
      <c r="W17" s="15"/>
      <c r="X17" s="15"/>
      <c r="Y17" s="15">
        <v>15428343</v>
      </c>
      <c r="Z17" s="15">
        <v>9087462</v>
      </c>
      <c r="AA17" s="15">
        <v>6340881</v>
      </c>
      <c r="AB17" s="15">
        <v>9087462</v>
      </c>
      <c r="AC17" s="15">
        <v>6767025</v>
      </c>
      <c r="AD17" s="18">
        <v>0</v>
      </c>
      <c r="AE17" s="15">
        <v>9087462</v>
      </c>
      <c r="AF17" s="15">
        <v>9879775</v>
      </c>
      <c r="AG17" s="15">
        <v>248083</v>
      </c>
      <c r="AH17" s="15">
        <v>0</v>
      </c>
      <c r="AI17" s="15">
        <v>-6722975</v>
      </c>
      <c r="AJ17" s="15">
        <v>2553661</v>
      </c>
      <c r="AK17" s="15">
        <v>435398</v>
      </c>
      <c r="AL17" s="15">
        <v>0</v>
      </c>
      <c r="AM17" s="15">
        <v>0</v>
      </c>
      <c r="AN17" s="15">
        <v>67675041</v>
      </c>
      <c r="AO17" s="15">
        <v>4901303</v>
      </c>
      <c r="AP17" s="15">
        <v>47536078</v>
      </c>
      <c r="AQ17" s="15">
        <v>122540343</v>
      </c>
      <c r="AR17" s="16">
        <v>11835588</v>
      </c>
      <c r="AS17" s="16">
        <v>3385082</v>
      </c>
      <c r="AT17" s="17">
        <v>0.71425788072836205</v>
      </c>
      <c r="AU17" s="17">
        <v>0.28574211927163701</v>
      </c>
      <c r="AV17" s="17">
        <v>0.489221762169265</v>
      </c>
      <c r="AW17" s="17"/>
      <c r="AX17" s="17">
        <v>0.489221762169265</v>
      </c>
      <c r="AY17" s="17">
        <f t="shared" si="1"/>
        <v>1.5280670416504404E-2</v>
      </c>
    </row>
    <row r="18" spans="1:51" ht="15.6" x14ac:dyDescent="0.3">
      <c r="A18" s="14" t="s">
        <v>65</v>
      </c>
      <c r="B18" s="15"/>
      <c r="C18" s="15">
        <v>1523370</v>
      </c>
      <c r="D18" s="15">
        <v>15414895</v>
      </c>
      <c r="E18" s="15"/>
      <c r="F18" s="15"/>
      <c r="G18" s="15"/>
      <c r="H18" s="15">
        <v>726838</v>
      </c>
      <c r="I18" s="15"/>
      <c r="J18" s="15">
        <v>41110</v>
      </c>
      <c r="K18" s="15"/>
      <c r="L18" s="15">
        <v>218586</v>
      </c>
      <c r="M18" s="15"/>
      <c r="N18" s="15">
        <v>111042</v>
      </c>
      <c r="O18" s="15"/>
      <c r="P18" s="15">
        <v>1545431</v>
      </c>
      <c r="Q18" s="15">
        <v>8214</v>
      </c>
      <c r="R18" s="15"/>
      <c r="S18" s="15"/>
      <c r="T18" s="15"/>
      <c r="U18" s="15"/>
      <c r="V18" s="15"/>
      <c r="W18" s="15"/>
      <c r="X18" s="15"/>
      <c r="Y18" s="15">
        <v>19589486</v>
      </c>
      <c r="Z18" s="15">
        <v>15269903</v>
      </c>
      <c r="AA18" s="15">
        <v>4319583</v>
      </c>
      <c r="AB18" s="15">
        <v>9527810</v>
      </c>
      <c r="AC18" s="15">
        <v>3584887</v>
      </c>
      <c r="AD18" s="18">
        <v>5742093</v>
      </c>
      <c r="AE18" s="15">
        <v>15269903</v>
      </c>
      <c r="AF18" s="15">
        <v>2798736</v>
      </c>
      <c r="AG18" s="15">
        <v>4288512</v>
      </c>
      <c r="AH18" s="15">
        <v>1220840</v>
      </c>
      <c r="AI18" s="15">
        <v>-3584887</v>
      </c>
      <c r="AJ18" s="15">
        <v>3306241</v>
      </c>
      <c r="AK18" s="15">
        <v>13820475</v>
      </c>
      <c r="AL18" s="15">
        <v>0</v>
      </c>
      <c r="AM18" s="15">
        <v>0</v>
      </c>
      <c r="AN18" s="15">
        <v>88526103</v>
      </c>
      <c r="AO18" s="15">
        <v>21003223</v>
      </c>
      <c r="AP18" s="15">
        <v>27443989</v>
      </c>
      <c r="AQ18" s="15">
        <v>151248113</v>
      </c>
      <c r="AR18" s="16">
        <v>23704118</v>
      </c>
      <c r="AS18" s="16">
        <v>21701704</v>
      </c>
      <c r="AT18" s="17">
        <v>0.19366257461971301</v>
      </c>
      <c r="AU18" s="17">
        <v>0.40900501743404299</v>
      </c>
      <c r="AV18" s="17">
        <v>0.64539383501215397</v>
      </c>
      <c r="AW18" s="17">
        <v>0.39733240794624203</v>
      </c>
      <c r="AX18" s="17">
        <v>0.248061427065911</v>
      </c>
      <c r="AY18" s="17">
        <f t="shared" si="1"/>
        <v>1.9401984982750718E-2</v>
      </c>
    </row>
    <row r="19" spans="1:51" ht="15.6" x14ac:dyDescent="0.3">
      <c r="A19" s="14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8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6"/>
      <c r="AS19" s="16"/>
      <c r="AT19" s="17"/>
      <c r="AU19" s="17"/>
      <c r="AV19" s="17"/>
      <c r="AW19" s="17"/>
      <c r="AX19" s="17"/>
      <c r="AY19" s="17"/>
    </row>
    <row r="20" spans="1:51" ht="15.6" x14ac:dyDescent="0.3">
      <c r="A20" s="14" t="s">
        <v>67</v>
      </c>
      <c r="B20" s="15">
        <v>6335160</v>
      </c>
      <c r="C20" s="15"/>
      <c r="D20" s="15">
        <v>21379116</v>
      </c>
      <c r="E20" s="15"/>
      <c r="F20" s="15"/>
      <c r="G20" s="15"/>
      <c r="H20" s="15">
        <v>1339417</v>
      </c>
      <c r="I20" s="15"/>
      <c r="J20" s="15"/>
      <c r="K20" s="15">
        <v>1278915</v>
      </c>
      <c r="L20" s="15"/>
      <c r="M20" s="15"/>
      <c r="N20" s="15">
        <v>12855704</v>
      </c>
      <c r="O20" s="15"/>
      <c r="P20" s="15">
        <v>9947951</v>
      </c>
      <c r="Q20" s="15">
        <v>211923</v>
      </c>
      <c r="R20" s="15"/>
      <c r="S20" s="15"/>
      <c r="T20" s="15"/>
      <c r="U20" s="15"/>
      <c r="V20" s="15"/>
      <c r="W20" s="15"/>
      <c r="X20" s="15"/>
      <c r="Y20" s="15">
        <v>53348186</v>
      </c>
      <c r="Z20" s="15">
        <v>31259204</v>
      </c>
      <c r="AA20" s="15">
        <v>22088982</v>
      </c>
      <c r="AB20" s="15">
        <v>24121966</v>
      </c>
      <c r="AC20" s="15">
        <v>5474743</v>
      </c>
      <c r="AD20" s="18">
        <v>7137238</v>
      </c>
      <c r="AE20" s="15">
        <v>31259204</v>
      </c>
      <c r="AF20" s="15">
        <v>8282192</v>
      </c>
      <c r="AG20" s="15">
        <v>2400468</v>
      </c>
      <c r="AH20" s="15">
        <v>0</v>
      </c>
      <c r="AI20" s="15">
        <v>-5465099</v>
      </c>
      <c r="AJ20" s="15">
        <v>3758690</v>
      </c>
      <c r="AK20" s="15">
        <v>13273036</v>
      </c>
      <c r="AL20" s="15">
        <v>0</v>
      </c>
      <c r="AM20" s="15">
        <v>0</v>
      </c>
      <c r="AN20" s="15">
        <v>116858872</v>
      </c>
      <c r="AO20" s="15">
        <v>15590845</v>
      </c>
      <c r="AP20" s="15">
        <v>5436286</v>
      </c>
      <c r="AQ20" s="15">
        <v>151159039</v>
      </c>
      <c r="AR20" s="16">
        <v>52944140</v>
      </c>
      <c r="AS20" s="16">
        <v>0</v>
      </c>
      <c r="AT20" s="17">
        <v>0.21708735081095001</v>
      </c>
      <c r="AU20" s="17">
        <v>0.59583607700535202</v>
      </c>
      <c r="AV20" s="17">
        <v>0.33057692260310201</v>
      </c>
      <c r="AW20" s="17">
        <v>0.187076572183697</v>
      </c>
      <c r="AX20" s="17">
        <v>0.14350035041940501</v>
      </c>
      <c r="AY20" s="17">
        <f t="shared" si="1"/>
        <v>5.2837563151426854E-2</v>
      </c>
    </row>
    <row r="21" spans="1:51" ht="15.6" x14ac:dyDescent="0.3">
      <c r="A21" s="14" t="s">
        <v>68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6"/>
      <c r="AS21" s="16"/>
      <c r="AT21" s="17"/>
      <c r="AU21" s="17"/>
      <c r="AV21" s="17"/>
      <c r="AW21" s="17"/>
      <c r="AX21" s="17"/>
      <c r="AY21" s="17"/>
    </row>
    <row r="22" spans="1:51" ht="15.6" x14ac:dyDescent="0.3">
      <c r="A22" s="14" t="s">
        <v>69</v>
      </c>
      <c r="B22" s="15">
        <v>13483</v>
      </c>
      <c r="C22" s="15">
        <v>660647</v>
      </c>
      <c r="D22" s="15">
        <v>6172695</v>
      </c>
      <c r="E22" s="15">
        <v>18126360</v>
      </c>
      <c r="F22" s="15">
        <v>31630</v>
      </c>
      <c r="G22" s="15">
        <v>0</v>
      </c>
      <c r="H22" s="15">
        <v>167045</v>
      </c>
      <c r="I22" s="15">
        <v>0</v>
      </c>
      <c r="J22" s="15">
        <v>0</v>
      </c>
      <c r="K22" s="15">
        <v>49896</v>
      </c>
      <c r="L22" s="15">
        <v>6084</v>
      </c>
      <c r="M22" s="15">
        <v>602330</v>
      </c>
      <c r="N22" s="15">
        <v>46345</v>
      </c>
      <c r="O22" s="15">
        <v>41098</v>
      </c>
      <c r="P22" s="15">
        <v>1152093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27069706</v>
      </c>
      <c r="Z22" s="15">
        <v>10683164</v>
      </c>
      <c r="AA22" s="15">
        <v>16386542</v>
      </c>
      <c r="AB22" s="15">
        <v>2529778</v>
      </c>
      <c r="AC22" s="15">
        <v>9227594</v>
      </c>
      <c r="AD22" s="18">
        <v>8153386</v>
      </c>
      <c r="AE22" s="15">
        <v>10683164</v>
      </c>
      <c r="AF22" s="15">
        <v>15852579</v>
      </c>
      <c r="AG22" s="15">
        <v>1297838</v>
      </c>
      <c r="AH22" s="15">
        <v>-563697</v>
      </c>
      <c r="AI22" s="15">
        <v>-9227594</v>
      </c>
      <c r="AJ22" s="15">
        <v>5151389</v>
      </c>
      <c r="AK22" s="15">
        <v>4075241</v>
      </c>
      <c r="AL22" s="15">
        <v>2199153</v>
      </c>
      <c r="AM22" s="15">
        <v>2011516</v>
      </c>
      <c r="AN22" s="15">
        <v>56811882</v>
      </c>
      <c r="AO22" s="15">
        <v>16049924</v>
      </c>
      <c r="AP22" s="15">
        <v>27446682</v>
      </c>
      <c r="AQ22" s="15">
        <v>108594398</v>
      </c>
      <c r="AR22" s="16">
        <v>19973322</v>
      </c>
      <c r="AS22" s="16">
        <v>7035579</v>
      </c>
      <c r="AT22" s="17">
        <v>0.60151666819898797</v>
      </c>
      <c r="AU22" s="17">
        <v>8.9107956269984606E-2</v>
      </c>
      <c r="AV22" s="17">
        <v>0.65951093381293002</v>
      </c>
      <c r="AW22" s="17">
        <v>0.30937537553102701</v>
      </c>
      <c r="AX22" s="17">
        <v>0.35013555828190301</v>
      </c>
      <c r="AY22" s="17">
        <f t="shared" si="1"/>
        <v>2.6810607960794739E-2</v>
      </c>
    </row>
    <row r="23" spans="1:51" ht="15.6" x14ac:dyDescent="0.3">
      <c r="A23" s="14" t="s">
        <v>70</v>
      </c>
      <c r="B23" s="15"/>
      <c r="C23" s="15">
        <v>2102069</v>
      </c>
      <c r="D23" s="15">
        <v>16561588</v>
      </c>
      <c r="E23" s="15">
        <v>576041</v>
      </c>
      <c r="F23" s="15"/>
      <c r="G23" s="15"/>
      <c r="H23" s="15"/>
      <c r="I23" s="15"/>
      <c r="J23" s="15"/>
      <c r="K23" s="15"/>
      <c r="L23" s="15">
        <v>140402</v>
      </c>
      <c r="M23" s="15"/>
      <c r="N23" s="15">
        <v>969046</v>
      </c>
      <c r="O23" s="15"/>
      <c r="P23" s="15">
        <v>356028</v>
      </c>
      <c r="Q23" s="15"/>
      <c r="R23" s="15">
        <v>2210489</v>
      </c>
      <c r="S23" s="15"/>
      <c r="T23" s="15"/>
      <c r="U23" s="15"/>
      <c r="V23" s="15"/>
      <c r="W23" s="15"/>
      <c r="X23" s="15"/>
      <c r="Y23" s="15">
        <v>22915663</v>
      </c>
      <c r="Z23" s="15">
        <v>22004250</v>
      </c>
      <c r="AA23" s="15">
        <v>911413</v>
      </c>
      <c r="AB23" s="15">
        <v>18125791</v>
      </c>
      <c r="AC23" s="15">
        <v>12767352</v>
      </c>
      <c r="AD23" s="18">
        <v>3878459</v>
      </c>
      <c r="AE23" s="15">
        <v>22004250</v>
      </c>
      <c r="AF23" s="15">
        <v>9912691</v>
      </c>
      <c r="AG23" s="15">
        <v>2683101</v>
      </c>
      <c r="AH23" s="15">
        <v>-85933</v>
      </c>
      <c r="AI23" s="15">
        <v>-12447964</v>
      </c>
      <c r="AJ23" s="15">
        <v>43945</v>
      </c>
      <c r="AK23" s="15">
        <v>7063656</v>
      </c>
      <c r="AL23" s="15">
        <v>34582189</v>
      </c>
      <c r="AM23" s="15">
        <v>0</v>
      </c>
      <c r="AN23" s="15">
        <v>63039652</v>
      </c>
      <c r="AO23" s="15">
        <v>3959597</v>
      </c>
      <c r="AP23" s="15">
        <v>31361693</v>
      </c>
      <c r="AQ23" s="15">
        <v>141460840</v>
      </c>
      <c r="AR23" s="16">
        <v>71909460</v>
      </c>
      <c r="AS23" s="16">
        <v>0</v>
      </c>
      <c r="AT23" s="17">
        <v>0.43257273420367498</v>
      </c>
      <c r="AU23" s="17">
        <v>0.39817800602147002</v>
      </c>
      <c r="AV23" s="17">
        <v>0.72639447525476297</v>
      </c>
      <c r="AW23" s="17">
        <v>0.169249259774853</v>
      </c>
      <c r="AX23" s="17">
        <v>0.55714521547990903</v>
      </c>
      <c r="AY23" s="17">
        <f t="shared" si="1"/>
        <v>2.2696325436807087E-2</v>
      </c>
    </row>
    <row r="24" spans="1:51" ht="15.6" x14ac:dyDescent="0.3">
      <c r="A24" s="14" t="s">
        <v>71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6"/>
      <c r="AS24" s="16"/>
      <c r="AT24" s="17"/>
      <c r="AU24" s="17"/>
      <c r="AV24" s="17"/>
      <c r="AW24" s="17"/>
      <c r="AX24" s="17"/>
      <c r="AY24" s="17"/>
    </row>
    <row r="25" spans="1:51" ht="15.6" x14ac:dyDescent="0.3">
      <c r="A25" s="14" t="s">
        <v>72</v>
      </c>
      <c r="B25" s="15"/>
      <c r="C25" s="15">
        <v>7298359</v>
      </c>
      <c r="D25" s="15">
        <v>5918374</v>
      </c>
      <c r="E25" s="15"/>
      <c r="F25" s="15"/>
      <c r="G25" s="15"/>
      <c r="H25" s="15">
        <v>1157337</v>
      </c>
      <c r="I25" s="15">
        <v>3177425</v>
      </c>
      <c r="J25" s="15"/>
      <c r="K25" s="15">
        <v>140959</v>
      </c>
      <c r="L25" s="15"/>
      <c r="M25" s="15"/>
      <c r="N25" s="15">
        <v>343952</v>
      </c>
      <c r="O25" s="15"/>
      <c r="P25" s="15">
        <v>2396839</v>
      </c>
      <c r="Q25" s="15">
        <v>3677151</v>
      </c>
      <c r="R25" s="15"/>
      <c r="S25" s="15"/>
      <c r="T25" s="15"/>
      <c r="U25" s="15"/>
      <c r="V25" s="15"/>
      <c r="W25" s="15"/>
      <c r="X25" s="15"/>
      <c r="Y25" s="15">
        <v>24110396</v>
      </c>
      <c r="Z25" s="15">
        <v>27043205</v>
      </c>
      <c r="AA25" s="15">
        <v>-2932809</v>
      </c>
      <c r="AB25" s="15">
        <v>23860658</v>
      </c>
      <c r="AC25" s="15">
        <v>5535000</v>
      </c>
      <c r="AD25" s="18">
        <v>3182547</v>
      </c>
      <c r="AE25" s="15">
        <v>27043205</v>
      </c>
      <c r="AF25" s="15">
        <v>5640847</v>
      </c>
      <c r="AG25" s="15">
        <v>4743405</v>
      </c>
      <c r="AH25" s="15">
        <v>0</v>
      </c>
      <c r="AI25" s="15">
        <v>-5535000</v>
      </c>
      <c r="AJ25" s="15">
        <v>3394252</v>
      </c>
      <c r="AK25" s="15">
        <v>28886047</v>
      </c>
      <c r="AL25" s="15">
        <v>3839422</v>
      </c>
      <c r="AM25" s="15">
        <v>50834806</v>
      </c>
      <c r="AN25" s="15">
        <v>78840624</v>
      </c>
      <c r="AO25" s="15">
        <v>9845469</v>
      </c>
      <c r="AP25" s="15">
        <v>2838158</v>
      </c>
      <c r="AQ25" s="15">
        <v>175163390</v>
      </c>
      <c r="AR25" s="16">
        <v>67627865</v>
      </c>
      <c r="AS25" s="16">
        <v>4759437</v>
      </c>
      <c r="AT25" s="17">
        <v>0.78921288395247802</v>
      </c>
      <c r="AU25" s="17">
        <v>-0.23448415193480601</v>
      </c>
      <c r="AV25" s="17">
        <v>1.2196750610078999</v>
      </c>
      <c r="AW25" s="17">
        <v>0.44527126798232702</v>
      </c>
      <c r="AX25" s="17">
        <v>0.77440379302558005</v>
      </c>
      <c r="AY25" s="17">
        <f t="shared" si="1"/>
        <v>2.3879623034528473E-2</v>
      </c>
    </row>
    <row r="26" spans="1:51" ht="15.6" x14ac:dyDescent="0.3">
      <c r="A26" s="14" t="s">
        <v>73</v>
      </c>
      <c r="B26" s="15">
        <v>542899</v>
      </c>
      <c r="C26" s="15">
        <v>5550630</v>
      </c>
      <c r="D26" s="15">
        <v>4851185</v>
      </c>
      <c r="E26" s="15">
        <v>7372889</v>
      </c>
      <c r="F26" s="15">
        <v>174365</v>
      </c>
      <c r="G26" s="15">
        <v>700715</v>
      </c>
      <c r="H26" s="15">
        <v>310420</v>
      </c>
      <c r="I26" s="15">
        <v>733642</v>
      </c>
      <c r="J26" s="15">
        <v>721530</v>
      </c>
      <c r="K26" s="15">
        <v>180138</v>
      </c>
      <c r="L26" s="15">
        <v>7101</v>
      </c>
      <c r="M26" s="15">
        <v>558632</v>
      </c>
      <c r="N26" s="15">
        <v>156653</v>
      </c>
      <c r="O26" s="15">
        <v>22325</v>
      </c>
      <c r="P26" s="15">
        <v>71557</v>
      </c>
      <c r="Q26" s="15">
        <v>11521</v>
      </c>
      <c r="R26" s="15">
        <v>533798</v>
      </c>
      <c r="S26" s="15"/>
      <c r="T26" s="15"/>
      <c r="U26" s="15"/>
      <c r="V26" s="15"/>
      <c r="W26" s="15"/>
      <c r="X26" s="15"/>
      <c r="Y26" s="15">
        <v>22500000</v>
      </c>
      <c r="Z26" s="15">
        <v>4561008</v>
      </c>
      <c r="AA26" s="15">
        <v>17938992</v>
      </c>
      <c r="AB26" s="15">
        <v>3147096</v>
      </c>
      <c r="AC26" s="15">
        <v>12243196</v>
      </c>
      <c r="AD26" s="18">
        <v>1413912</v>
      </c>
      <c r="AE26" s="15">
        <v>4561008</v>
      </c>
      <c r="AF26" s="15">
        <v>11188989</v>
      </c>
      <c r="AG26" s="15">
        <v>1624354</v>
      </c>
      <c r="AH26" s="15">
        <v>0</v>
      </c>
      <c r="AI26" s="15">
        <v>-12243196</v>
      </c>
      <c r="AJ26" s="15">
        <v>399102</v>
      </c>
      <c r="AK26" s="15">
        <v>666089</v>
      </c>
      <c r="AL26" s="15">
        <v>0</v>
      </c>
      <c r="AM26" s="15">
        <v>47852750</v>
      </c>
      <c r="AN26" s="15">
        <v>60841189</v>
      </c>
      <c r="AO26" s="15">
        <v>32170494</v>
      </c>
      <c r="AP26" s="15">
        <v>2002637</v>
      </c>
      <c r="AQ26" s="15">
        <v>143533159</v>
      </c>
      <c r="AR26" s="16">
        <v>44963482</v>
      </c>
      <c r="AS26" s="16">
        <v>0</v>
      </c>
      <c r="AT26" s="17">
        <v>0.73373575938741997</v>
      </c>
      <c r="AU26" s="17">
        <v>0.17354471116921399</v>
      </c>
      <c r="AV26" s="17">
        <v>0.89558659047890798</v>
      </c>
      <c r="AW26" s="17">
        <v>9.2719529443364895E-2</v>
      </c>
      <c r="AX26" s="17">
        <v>0.80286706103554295</v>
      </c>
      <c r="AY26" s="17">
        <f t="shared" si="1"/>
        <v>2.22846409605587E-2</v>
      </c>
    </row>
    <row r="27" spans="1:51" ht="15.6" x14ac:dyDescent="0.3">
      <c r="A27" s="14" t="s">
        <v>74</v>
      </c>
      <c r="B27" s="15">
        <v>391226</v>
      </c>
      <c r="C27" s="15">
        <v>19081310</v>
      </c>
      <c r="D27" s="15">
        <v>13742395</v>
      </c>
      <c r="E27" s="15">
        <v>5487303</v>
      </c>
      <c r="F27" s="15">
        <v>85935</v>
      </c>
      <c r="G27" s="15">
        <v>0</v>
      </c>
      <c r="H27" s="15">
        <v>1218825</v>
      </c>
      <c r="I27" s="15">
        <v>170684</v>
      </c>
      <c r="J27" s="15">
        <v>145959</v>
      </c>
      <c r="K27" s="15">
        <v>449050</v>
      </c>
      <c r="L27" s="15">
        <v>715094</v>
      </c>
      <c r="M27" s="15">
        <v>1999981</v>
      </c>
      <c r="N27" s="15">
        <v>460818</v>
      </c>
      <c r="O27" s="15">
        <v>920434</v>
      </c>
      <c r="P27" s="15">
        <v>8167458</v>
      </c>
      <c r="Q27" s="15">
        <v>174695</v>
      </c>
      <c r="R27" s="15">
        <v>736617</v>
      </c>
      <c r="S27" s="15">
        <v>2643695</v>
      </c>
      <c r="T27" s="15"/>
      <c r="U27" s="15"/>
      <c r="V27" s="15"/>
      <c r="W27" s="15"/>
      <c r="X27" s="15"/>
      <c r="Y27" s="15">
        <v>56591479</v>
      </c>
      <c r="Z27" s="15">
        <v>643015</v>
      </c>
      <c r="AA27" s="15">
        <v>55948464</v>
      </c>
      <c r="AB27" s="15">
        <v>-11141632</v>
      </c>
      <c r="AC27" s="15">
        <v>41125024</v>
      </c>
      <c r="AD27" s="15">
        <v>11784647</v>
      </c>
      <c r="AE27" s="15">
        <v>643015</v>
      </c>
      <c r="AF27" s="15">
        <v>49621601</v>
      </c>
      <c r="AG27" s="15">
        <v>3337652</v>
      </c>
      <c r="AH27" s="15">
        <v>0</v>
      </c>
      <c r="AI27" s="15">
        <v>-43488948</v>
      </c>
      <c r="AJ27" s="15">
        <v>6629213</v>
      </c>
      <c r="AK27" s="15">
        <v>85393497</v>
      </c>
      <c r="AL27" s="15">
        <v>0</v>
      </c>
      <c r="AM27" s="15">
        <v>64804452</v>
      </c>
      <c r="AN27" s="15">
        <v>575781555</v>
      </c>
      <c r="AO27" s="15">
        <v>18554928</v>
      </c>
      <c r="AP27" s="15">
        <v>148543325</v>
      </c>
      <c r="AQ27" s="15">
        <v>893100630</v>
      </c>
      <c r="AR27" s="16">
        <v>167921074</v>
      </c>
      <c r="AS27" s="16">
        <v>0</v>
      </c>
      <c r="AT27" s="17">
        <v>1.04814534742615</v>
      </c>
      <c r="AU27" s="17">
        <v>-0.29706966012839597</v>
      </c>
      <c r="AV27" s="17">
        <v>1.1175984727396999</v>
      </c>
      <c r="AW27" s="17">
        <v>0.248924312702237</v>
      </c>
      <c r="AX27" s="17">
        <v>0.86867416003746301</v>
      </c>
      <c r="AY27" s="17">
        <f t="shared" si="1"/>
        <v>5.6049812930755442E-2</v>
      </c>
    </row>
    <row r="28" spans="1:51" ht="15.6" x14ac:dyDescent="0.3">
      <c r="A28" s="14" t="s">
        <v>75</v>
      </c>
      <c r="B28" s="15">
        <v>383288</v>
      </c>
      <c r="C28" s="15">
        <v>43793369</v>
      </c>
      <c r="D28" s="15">
        <v>25538142</v>
      </c>
      <c r="E28" s="15">
        <v>9804699</v>
      </c>
      <c r="F28" s="15">
        <v>81329</v>
      </c>
      <c r="G28" s="15">
        <v>0</v>
      </c>
      <c r="H28" s="15">
        <v>3977169</v>
      </c>
      <c r="I28" s="15">
        <v>576702</v>
      </c>
      <c r="J28" s="15">
        <v>1385543</v>
      </c>
      <c r="K28" s="15">
        <v>1788460</v>
      </c>
      <c r="L28" s="15">
        <v>2604089</v>
      </c>
      <c r="M28" s="15">
        <v>2210485</v>
      </c>
      <c r="N28" s="15">
        <v>15543718</v>
      </c>
      <c r="O28" s="15">
        <v>4557200</v>
      </c>
      <c r="P28" s="15">
        <v>4938555</v>
      </c>
      <c r="Q28" s="15">
        <v>1061026</v>
      </c>
      <c r="R28" s="15">
        <v>125213</v>
      </c>
      <c r="S28" s="15">
        <v>558312</v>
      </c>
      <c r="T28" s="15"/>
      <c r="U28" s="15"/>
      <c r="V28" s="15"/>
      <c r="W28" s="15"/>
      <c r="X28" s="15"/>
      <c r="Y28" s="15">
        <v>118927299</v>
      </c>
      <c r="Z28" s="15">
        <v>0</v>
      </c>
      <c r="AA28" s="15">
        <v>118927299</v>
      </c>
      <c r="AB28" s="15">
        <v>0</v>
      </c>
      <c r="AC28" s="15">
        <v>22113293</v>
      </c>
      <c r="AD28" s="18">
        <v>0</v>
      </c>
      <c r="AE28" s="15">
        <v>0</v>
      </c>
      <c r="AF28" s="15">
        <v>118927299</v>
      </c>
      <c r="AG28" s="15">
        <v>0</v>
      </c>
      <c r="AH28" s="15">
        <v>0</v>
      </c>
      <c r="AI28" s="15">
        <v>-22113293</v>
      </c>
      <c r="AJ28" s="15">
        <v>96814006</v>
      </c>
      <c r="AK28" s="15">
        <v>3933461</v>
      </c>
      <c r="AL28" s="15">
        <v>6660983</v>
      </c>
      <c r="AM28" s="15">
        <v>4385979</v>
      </c>
      <c r="AN28" s="15">
        <v>831732551</v>
      </c>
      <c r="AO28" s="15">
        <v>61378988</v>
      </c>
      <c r="AP28" s="15">
        <v>2990513</v>
      </c>
      <c r="AQ28" s="15">
        <v>916581538</v>
      </c>
      <c r="AR28" s="16">
        <v>132214892</v>
      </c>
      <c r="AS28" s="16">
        <v>64637632</v>
      </c>
      <c r="AT28" s="17">
        <v>1</v>
      </c>
      <c r="AU28" s="17">
        <v>0</v>
      </c>
      <c r="AV28" s="17">
        <v>0.18593958818487899</v>
      </c>
      <c r="AW28" s="17">
        <v>0</v>
      </c>
      <c r="AX28" s="17">
        <v>0.18593958818487899</v>
      </c>
      <c r="AY28" s="17">
        <f t="shared" si="1"/>
        <v>0.11778898482773385</v>
      </c>
    </row>
    <row r="29" spans="1:51" ht="15.6" x14ac:dyDescent="0.3">
      <c r="A29" s="14" t="s">
        <v>76</v>
      </c>
      <c r="B29" s="15">
        <v>4578822</v>
      </c>
      <c r="C29" s="15"/>
      <c r="D29" s="15">
        <v>18297477</v>
      </c>
      <c r="E29" s="15"/>
      <c r="F29" s="15"/>
      <c r="G29" s="15"/>
      <c r="H29" s="15">
        <v>1973188</v>
      </c>
      <c r="I29" s="15"/>
      <c r="J29" s="15"/>
      <c r="K29" s="15"/>
      <c r="L29" s="15"/>
      <c r="M29" s="15"/>
      <c r="N29" s="15">
        <v>914834</v>
      </c>
      <c r="O29" s="15"/>
      <c r="P29" s="15">
        <v>584458</v>
      </c>
      <c r="Q29" s="15">
        <v>232040</v>
      </c>
      <c r="R29" s="15"/>
      <c r="S29" s="15"/>
      <c r="T29" s="15"/>
      <c r="U29" s="15"/>
      <c r="V29" s="15"/>
      <c r="W29" s="15"/>
      <c r="X29" s="15"/>
      <c r="Y29" s="15">
        <v>26580819</v>
      </c>
      <c r="Z29" s="15">
        <v>15698729.1</v>
      </c>
      <c r="AA29" s="15">
        <v>10882089.9</v>
      </c>
      <c r="AB29" s="15">
        <v>2958548</v>
      </c>
      <c r="AC29" s="15">
        <v>2658850</v>
      </c>
      <c r="AD29" s="15">
        <v>12740181.099999901</v>
      </c>
      <c r="AE29" s="15">
        <v>15698729.099999901</v>
      </c>
      <c r="AF29" s="15">
        <v>6611228.3499999996</v>
      </c>
      <c r="AG29" s="15">
        <v>6270668.1791340802</v>
      </c>
      <c r="AH29" s="15">
        <v>0</v>
      </c>
      <c r="AI29" s="15">
        <v>-2538975</v>
      </c>
      <c r="AJ29" s="15">
        <v>7878426.5291340798</v>
      </c>
      <c r="AK29" s="15">
        <v>6034303</v>
      </c>
      <c r="AL29" s="15">
        <v>0</v>
      </c>
      <c r="AM29" s="15">
        <v>20955723.772994898</v>
      </c>
      <c r="AN29" s="15">
        <v>114118696</v>
      </c>
      <c r="AO29" s="15">
        <v>13951379</v>
      </c>
      <c r="AP29" s="15">
        <v>13630196.390799999</v>
      </c>
      <c r="AQ29" s="15">
        <v>168690298.16</v>
      </c>
      <c r="AR29" s="16">
        <v>67847406.929999903</v>
      </c>
      <c r="AS29" s="16">
        <v>0</v>
      </c>
      <c r="AT29" s="17">
        <v>0.28028573678810698</v>
      </c>
      <c r="AU29" s="17">
        <v>0.17958906145155201</v>
      </c>
      <c r="AV29" s="17">
        <v>0.65284823775395395</v>
      </c>
      <c r="AW29" s="17">
        <v>0.54012520176033896</v>
      </c>
      <c r="AX29" s="17">
        <v>0.112723035993615</v>
      </c>
      <c r="AY29" s="17">
        <f t="shared" si="1"/>
        <v>2.6326400349004308E-2</v>
      </c>
    </row>
    <row r="30" spans="1:51" ht="15.6" x14ac:dyDescent="0.3">
      <c r="A30" s="14" t="s">
        <v>77</v>
      </c>
      <c r="B30" s="15">
        <v>181812</v>
      </c>
      <c r="C30" s="15">
        <v>1236401</v>
      </c>
      <c r="D30" s="15">
        <v>10265754</v>
      </c>
      <c r="E30" s="15">
        <v>1109347</v>
      </c>
      <c r="F30" s="15">
        <v>1986</v>
      </c>
      <c r="G30" s="15">
        <v>2272928</v>
      </c>
      <c r="H30" s="15">
        <v>467002</v>
      </c>
      <c r="I30" s="15">
        <v>0</v>
      </c>
      <c r="J30" s="15">
        <v>401433</v>
      </c>
      <c r="K30" s="15">
        <v>23386</v>
      </c>
      <c r="L30" s="15">
        <v>135461</v>
      </c>
      <c r="M30" s="15">
        <v>0</v>
      </c>
      <c r="N30" s="15">
        <v>71443</v>
      </c>
      <c r="O30" s="15">
        <v>0</v>
      </c>
      <c r="P30" s="15">
        <v>212101</v>
      </c>
      <c r="Q30" s="15">
        <v>201513</v>
      </c>
      <c r="R30" s="15">
        <v>34896</v>
      </c>
      <c r="S30" s="15"/>
      <c r="T30" s="15"/>
      <c r="U30" s="15"/>
      <c r="V30" s="15"/>
      <c r="W30" s="15"/>
      <c r="X30" s="15"/>
      <c r="Y30" s="15">
        <v>16615463</v>
      </c>
      <c r="Z30" s="15">
        <v>10404012</v>
      </c>
      <c r="AA30" s="15">
        <v>6211451</v>
      </c>
      <c r="AB30" s="15">
        <v>5600696</v>
      </c>
      <c r="AC30" s="15">
        <v>3170834</v>
      </c>
      <c r="AD30" s="18">
        <v>4803316</v>
      </c>
      <c r="AE30" s="15">
        <v>10404012</v>
      </c>
      <c r="AF30" s="15">
        <v>6888214</v>
      </c>
      <c r="AG30" s="15">
        <v>3864385</v>
      </c>
      <c r="AH30" s="15">
        <v>-685833</v>
      </c>
      <c r="AI30" s="15">
        <v>-3002471</v>
      </c>
      <c r="AJ30" s="15">
        <v>4945007</v>
      </c>
      <c r="AK30" s="15">
        <v>12388971</v>
      </c>
      <c r="AL30" s="15">
        <v>183786</v>
      </c>
      <c r="AM30" s="15">
        <v>14074737</v>
      </c>
      <c r="AN30" s="15">
        <v>69708938</v>
      </c>
      <c r="AO30" s="15">
        <v>20717309</v>
      </c>
      <c r="AP30" s="15">
        <v>5908545</v>
      </c>
      <c r="AQ30" s="15">
        <v>123405797</v>
      </c>
      <c r="AR30" s="16">
        <v>30642356</v>
      </c>
      <c r="AS30" s="16">
        <v>0</v>
      </c>
      <c r="AT30" s="17">
        <v>0.40254182538514199</v>
      </c>
      <c r="AU30" s="17">
        <v>0.31675615366404802</v>
      </c>
      <c r="AV30" s="17">
        <v>0.46600307378588002</v>
      </c>
      <c r="AW30" s="17">
        <v>0.28070202095080898</v>
      </c>
      <c r="AX30" s="17">
        <v>0.18530105283507001</v>
      </c>
      <c r="AY30" s="17">
        <f t="shared" si="1"/>
        <v>1.6456427882153225E-2</v>
      </c>
    </row>
    <row r="31" spans="1:51" ht="15.6" x14ac:dyDescent="0.3">
      <c r="A31" s="14" t="s">
        <v>78</v>
      </c>
      <c r="B31" s="15">
        <v>2444917</v>
      </c>
      <c r="C31" s="15">
        <v>13954154</v>
      </c>
      <c r="D31" s="15">
        <v>69472686</v>
      </c>
      <c r="E31" s="15">
        <v>16034802</v>
      </c>
      <c r="F31" s="15">
        <v>209353</v>
      </c>
      <c r="G31" s="15">
        <v>0</v>
      </c>
      <c r="H31" s="15">
        <v>1864025</v>
      </c>
      <c r="I31" s="15">
        <v>396765</v>
      </c>
      <c r="J31" s="15">
        <v>1135620</v>
      </c>
      <c r="K31" s="15">
        <v>1260720</v>
      </c>
      <c r="L31" s="15">
        <v>19207</v>
      </c>
      <c r="M31" s="15">
        <v>10189768</v>
      </c>
      <c r="N31" s="15">
        <v>1212299</v>
      </c>
      <c r="O31" s="15">
        <v>5321615</v>
      </c>
      <c r="P31" s="15">
        <v>3219079</v>
      </c>
      <c r="Q31" s="15">
        <v>685403</v>
      </c>
      <c r="R31" s="15">
        <v>22757</v>
      </c>
      <c r="S31" s="15"/>
      <c r="T31" s="15"/>
      <c r="U31" s="15"/>
      <c r="V31" s="15"/>
      <c r="W31" s="15"/>
      <c r="X31" s="15"/>
      <c r="Y31" s="15">
        <v>127443170</v>
      </c>
      <c r="Z31" s="15">
        <v>68298589</v>
      </c>
      <c r="AA31" s="15">
        <v>59144581</v>
      </c>
      <c r="AB31" s="15">
        <v>34342500</v>
      </c>
      <c r="AC31" s="15">
        <v>20755776</v>
      </c>
      <c r="AD31" s="15">
        <v>33956089</v>
      </c>
      <c r="AE31" s="15">
        <v>68298589</v>
      </c>
      <c r="AF31" s="15">
        <v>41014326</v>
      </c>
      <c r="AG31" s="15">
        <v>1291398</v>
      </c>
      <c r="AH31" s="15">
        <v>0</v>
      </c>
      <c r="AI31" s="15">
        <v>-20712382</v>
      </c>
      <c r="AJ31" s="15">
        <v>12091609</v>
      </c>
      <c r="AK31" s="15">
        <v>66960203</v>
      </c>
      <c r="AL31" s="15">
        <v>0</v>
      </c>
      <c r="AM31" s="15">
        <v>28253463</v>
      </c>
      <c r="AN31" s="15">
        <v>162580266</v>
      </c>
      <c r="AO31" s="15">
        <v>94564790</v>
      </c>
      <c r="AP31" s="15">
        <v>11012251</v>
      </c>
      <c r="AQ31" s="15">
        <v>363370973</v>
      </c>
      <c r="AR31" s="16">
        <v>121057060</v>
      </c>
      <c r="AS31" s="16">
        <v>0</v>
      </c>
      <c r="AT31" s="17">
        <v>0.41264801280532698</v>
      </c>
      <c r="AU31" s="17">
        <v>0.24571739228530201</v>
      </c>
      <c r="AV31" s="17">
        <v>0.55045991415592999</v>
      </c>
      <c r="AW31" s="17">
        <v>0.34163459490936998</v>
      </c>
      <c r="AX31" s="17">
        <v>0.20882531924656</v>
      </c>
      <c r="AY31" s="17">
        <f t="shared" si="1"/>
        <v>0.1262233460589087</v>
      </c>
    </row>
    <row r="32" spans="1:51" ht="15.6" x14ac:dyDescent="0.3">
      <c r="A32" s="19" t="s">
        <v>79</v>
      </c>
      <c r="B32" s="20">
        <f>SUM(B6:B31)</f>
        <v>18533842.757979717</v>
      </c>
      <c r="C32" s="20">
        <f t="shared" ref="C32:AS32" si="2">SUM(C6:C31)</f>
        <v>268412034.03202027</v>
      </c>
      <c r="D32" s="20">
        <f t="shared" si="2"/>
        <v>353688935.3725822</v>
      </c>
      <c r="E32" s="20">
        <f t="shared" si="2"/>
        <v>84551580.982317969</v>
      </c>
      <c r="F32" s="20">
        <f t="shared" si="2"/>
        <v>1721784.3650998678</v>
      </c>
      <c r="G32" s="20">
        <f t="shared" si="2"/>
        <v>3240656</v>
      </c>
      <c r="H32" s="20">
        <f t="shared" si="2"/>
        <v>22769029.64023244</v>
      </c>
      <c r="I32" s="20">
        <f t="shared" si="2"/>
        <v>8704383.7399652861</v>
      </c>
      <c r="J32" s="20">
        <f t="shared" si="2"/>
        <v>4686485.53</v>
      </c>
      <c r="K32" s="20">
        <f t="shared" si="2"/>
        <v>21050368.871106889</v>
      </c>
      <c r="L32" s="20">
        <f t="shared" si="2"/>
        <v>6915548.0486953836</v>
      </c>
      <c r="M32" s="20">
        <f t="shared" si="2"/>
        <v>46171929.469999999</v>
      </c>
      <c r="N32" s="20">
        <f t="shared" si="2"/>
        <v>59238610.920000002</v>
      </c>
      <c r="O32" s="20">
        <f t="shared" si="2"/>
        <v>16836056.300000001</v>
      </c>
      <c r="P32" s="20">
        <f t="shared" si="2"/>
        <v>50796971.590000004</v>
      </c>
      <c r="Q32" s="20">
        <f t="shared" si="2"/>
        <v>26021125.210000001</v>
      </c>
      <c r="R32" s="20">
        <f t="shared" si="2"/>
        <v>12216016</v>
      </c>
      <c r="S32" s="20">
        <f t="shared" si="2"/>
        <v>4058079.25</v>
      </c>
      <c r="T32" s="20">
        <f t="shared" si="2"/>
        <v>0</v>
      </c>
      <c r="U32" s="20">
        <f t="shared" si="2"/>
        <v>50574</v>
      </c>
      <c r="V32" s="20">
        <f t="shared" si="2"/>
        <v>0</v>
      </c>
      <c r="W32" s="20">
        <f t="shared" si="2"/>
        <v>0</v>
      </c>
      <c r="X32" s="20">
        <f t="shared" si="2"/>
        <v>0</v>
      </c>
      <c r="Y32" s="20">
        <f t="shared" si="2"/>
        <v>1009664012.0799999</v>
      </c>
      <c r="Z32" s="20">
        <f t="shared" si="2"/>
        <v>696219119.89999998</v>
      </c>
      <c r="AA32" s="20">
        <f t="shared" si="2"/>
        <v>313444892.20000005</v>
      </c>
      <c r="AB32" s="20">
        <f t="shared" si="2"/>
        <v>535172540.40999997</v>
      </c>
      <c r="AC32" s="20">
        <f t="shared" si="2"/>
        <v>221919682.07999998</v>
      </c>
      <c r="AD32" s="20">
        <f t="shared" si="2"/>
        <v>161046579.43999991</v>
      </c>
      <c r="AE32" s="20">
        <f t="shared" si="2"/>
        <v>696219119.8499999</v>
      </c>
      <c r="AF32" s="20">
        <f t="shared" si="2"/>
        <v>446610334.10000002</v>
      </c>
      <c r="AG32" s="20">
        <f t="shared" si="2"/>
        <v>63943300.809134074</v>
      </c>
      <c r="AH32" s="20">
        <f t="shared" si="2"/>
        <v>-5215095</v>
      </c>
      <c r="AI32" s="20">
        <f t="shared" si="2"/>
        <v>-215437064.80000001</v>
      </c>
      <c r="AJ32" s="20">
        <f t="shared" si="2"/>
        <v>250145829.10913408</v>
      </c>
      <c r="AK32" s="20">
        <f t="shared" si="2"/>
        <v>611031160.39999986</v>
      </c>
      <c r="AL32" s="20">
        <f t="shared" si="2"/>
        <v>54747361.030000001</v>
      </c>
      <c r="AM32" s="20">
        <f t="shared" si="2"/>
        <v>1073506811.3429948</v>
      </c>
      <c r="AN32" s="20">
        <f t="shared" si="2"/>
        <v>3216271046.4099998</v>
      </c>
      <c r="AO32" s="20">
        <f t="shared" si="2"/>
        <v>500418612.31</v>
      </c>
      <c r="AP32" s="20">
        <f t="shared" si="2"/>
        <v>495994154.1408</v>
      </c>
      <c r="AQ32" s="20">
        <f t="shared" si="2"/>
        <v>5971683335.1599998</v>
      </c>
      <c r="AR32" s="20">
        <f t="shared" si="2"/>
        <v>2140525066.0299997</v>
      </c>
      <c r="AS32" s="20">
        <f t="shared" si="2"/>
        <v>115101011</v>
      </c>
      <c r="AT32" s="21">
        <f>AVERAGE(AT6:AT31)</f>
        <v>0.55971051185570975</v>
      </c>
      <c r="AU32" s="21">
        <f t="shared" ref="AU32:AX32" si="3">AVERAGE(AU6:AU31)</f>
        <v>0.19994493114383075</v>
      </c>
      <c r="AV32" s="21">
        <f t="shared" si="3"/>
        <v>0.65919688681872146</v>
      </c>
      <c r="AW32" s="21">
        <f t="shared" si="3"/>
        <v>0.26564398402956807</v>
      </c>
      <c r="AX32" s="21">
        <f t="shared" si="3"/>
        <v>0.41885232983958837</v>
      </c>
      <c r="AY32" s="21">
        <f>SUM(AY6:AY31)</f>
        <v>1</v>
      </c>
    </row>
  </sheetData>
  <mergeCells count="1">
    <mergeCell ref="Z1:AY1"/>
  </mergeCells>
  <dataValidations count="1">
    <dataValidation type="list" allowBlank="1" showInputMessage="1" showErrorMessage="1" sqref="A3:Y3" xr:uid="{0C371EB4-ACA0-4F4D-8AD1-FA2A30D31678}">
      <formula1>$A$6:$A$31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0ED3-EC02-4897-8D79-70BF74554C82}">
  <dimension ref="A1:AY32"/>
  <sheetViews>
    <sheetView topLeftCell="AM1" workbookViewId="0">
      <selection activeCell="AB38" sqref="AB38"/>
    </sheetView>
  </sheetViews>
  <sheetFormatPr defaultRowHeight="13.2" x14ac:dyDescent="0.25"/>
  <cols>
    <col min="1" max="1" width="50.77734375" bestFit="1" customWidth="1"/>
    <col min="2" max="2" width="45.77734375" bestFit="1" customWidth="1"/>
    <col min="3" max="3" width="36.44140625" bestFit="1" customWidth="1"/>
    <col min="4" max="4" width="21.21875" bestFit="1" customWidth="1"/>
    <col min="5" max="5" width="17.21875" bestFit="1" customWidth="1"/>
    <col min="6" max="6" width="29.21875" bestFit="1" customWidth="1"/>
    <col min="7" max="7" width="14.44140625" bestFit="1" customWidth="1"/>
    <col min="8" max="8" width="23.44140625" bestFit="1" customWidth="1"/>
    <col min="9" max="9" width="31.44140625" bestFit="1" customWidth="1"/>
    <col min="10" max="10" width="15.77734375" bestFit="1" customWidth="1"/>
    <col min="11" max="11" width="43.21875" bestFit="1" customWidth="1"/>
    <col min="12" max="12" width="18" bestFit="1" customWidth="1"/>
    <col min="13" max="13" width="16.21875" bestFit="1" customWidth="1"/>
    <col min="14" max="14" width="13.21875" bestFit="1" customWidth="1"/>
    <col min="15" max="15" width="19.44140625" bestFit="1" customWidth="1"/>
    <col min="16" max="17" width="13.21875" bestFit="1" customWidth="1"/>
    <col min="18" max="18" width="11.44140625" bestFit="1" customWidth="1"/>
    <col min="19" max="19" width="10.77734375" bestFit="1" customWidth="1"/>
    <col min="20" max="20" width="25.44140625" bestFit="1" customWidth="1"/>
    <col min="21" max="21" width="21.77734375" bestFit="1" customWidth="1"/>
    <col min="22" max="22" width="23.77734375" bestFit="1" customWidth="1"/>
    <col min="23" max="23" width="13" bestFit="1" customWidth="1"/>
    <col min="24" max="24" width="23" bestFit="1" customWidth="1"/>
    <col min="25" max="25" width="26" bestFit="1" customWidth="1"/>
    <col min="26" max="27" width="20" bestFit="1" customWidth="1"/>
    <col min="28" max="28" width="17.77734375" customWidth="1"/>
    <col min="29" max="29" width="17.77734375" bestFit="1" customWidth="1"/>
    <col min="30" max="31" width="17.77734375" customWidth="1"/>
    <col min="32" max="32" width="16.21875" bestFit="1" customWidth="1"/>
    <col min="33" max="33" width="17.77734375" bestFit="1" customWidth="1"/>
    <col min="34" max="34" width="17" customWidth="1"/>
    <col min="35" max="37" width="17.77734375" bestFit="1" customWidth="1"/>
    <col min="38" max="39" width="20" bestFit="1" customWidth="1"/>
    <col min="40" max="40" width="17.77734375" customWidth="1"/>
    <col min="41" max="41" width="20" bestFit="1" customWidth="1"/>
    <col min="42" max="42" width="20" customWidth="1"/>
    <col min="43" max="43" width="17.77734375" bestFit="1" customWidth="1"/>
    <col min="44" max="44" width="18.21875" customWidth="1"/>
    <col min="45" max="45" width="18.44140625" customWidth="1"/>
    <col min="46" max="50" width="13" customWidth="1"/>
    <col min="51" max="51" width="9.21875" bestFit="1" customWidth="1"/>
  </cols>
  <sheetData>
    <row r="1" spans="1:51" ht="23.4" x14ac:dyDescent="0.45">
      <c r="A1" s="1" t="s">
        <v>80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53.4" x14ac:dyDescent="0.3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</row>
    <row r="3" spans="1:51" ht="15.6" x14ac:dyDescent="0.3">
      <c r="A3" s="7" t="s">
        <v>52</v>
      </c>
      <c r="B3" s="22">
        <f t="shared" ref="B3:AY3" si="0">INDEX(B6:B31,MATCH($A$3,$A$6:$A$31,0))</f>
        <v>2436220</v>
      </c>
      <c r="C3" s="22">
        <f t="shared" si="0"/>
        <v>2402850</v>
      </c>
      <c r="D3" s="22">
        <f t="shared" si="0"/>
        <v>19662443</v>
      </c>
      <c r="E3" s="22">
        <f t="shared" si="0"/>
        <v>14566190</v>
      </c>
      <c r="F3" s="22">
        <f t="shared" si="0"/>
        <v>0</v>
      </c>
      <c r="G3" s="22">
        <f t="shared" si="0"/>
        <v>0</v>
      </c>
      <c r="H3" s="22">
        <f t="shared" si="0"/>
        <v>443305</v>
      </c>
      <c r="I3" s="22">
        <f t="shared" si="0"/>
        <v>206439</v>
      </c>
      <c r="J3" s="22">
        <f t="shared" si="0"/>
        <v>0</v>
      </c>
      <c r="K3" s="22">
        <f t="shared" si="0"/>
        <v>239245</v>
      </c>
      <c r="L3" s="22">
        <f t="shared" si="0"/>
        <v>1091461</v>
      </c>
      <c r="M3" s="22">
        <f t="shared" si="0"/>
        <v>0</v>
      </c>
      <c r="N3" s="22">
        <f t="shared" si="0"/>
        <v>746014</v>
      </c>
      <c r="O3" s="22">
        <f t="shared" si="0"/>
        <v>0</v>
      </c>
      <c r="P3" s="22">
        <f t="shared" si="0"/>
        <v>1601302</v>
      </c>
      <c r="Q3" s="22">
        <f t="shared" si="0"/>
        <v>561211</v>
      </c>
      <c r="R3" s="22">
        <f t="shared" si="0"/>
        <v>140114</v>
      </c>
      <c r="S3" s="22">
        <f t="shared" si="0"/>
        <v>0</v>
      </c>
      <c r="T3" s="22">
        <f t="shared" si="0"/>
        <v>0</v>
      </c>
      <c r="U3" s="22">
        <f t="shared" si="0"/>
        <v>0</v>
      </c>
      <c r="V3" s="22">
        <f t="shared" si="0"/>
        <v>0</v>
      </c>
      <c r="W3" s="22">
        <f t="shared" si="0"/>
        <v>0</v>
      </c>
      <c r="X3" s="22">
        <f t="shared" si="0"/>
        <v>0</v>
      </c>
      <c r="Y3" s="22">
        <f t="shared" si="0"/>
        <v>44096794</v>
      </c>
      <c r="Z3" s="23">
        <f t="shared" si="0"/>
        <v>23392708</v>
      </c>
      <c r="AA3" s="23">
        <f t="shared" si="0"/>
        <v>20704086</v>
      </c>
      <c r="AB3" s="23">
        <f t="shared" si="0"/>
        <v>9018929</v>
      </c>
      <c r="AC3" s="23">
        <f t="shared" si="0"/>
        <v>10848089</v>
      </c>
      <c r="AD3" s="23">
        <f t="shared" si="0"/>
        <v>14373779</v>
      </c>
      <c r="AE3" s="23">
        <f t="shared" si="0"/>
        <v>23392708</v>
      </c>
      <c r="AF3" s="8">
        <f t="shared" si="0"/>
        <v>14300535</v>
      </c>
      <c r="AG3" s="8">
        <f t="shared" si="0"/>
        <v>6771468</v>
      </c>
      <c r="AH3" s="8">
        <f t="shared" si="0"/>
        <v>3137325</v>
      </c>
      <c r="AI3" s="8">
        <f t="shared" si="0"/>
        <v>-10404844</v>
      </c>
      <c r="AJ3" s="8">
        <f t="shared" si="0"/>
        <v>9663140</v>
      </c>
      <c r="AK3" s="8">
        <f t="shared" si="0"/>
        <v>29009287</v>
      </c>
      <c r="AL3" s="8">
        <f t="shared" si="0"/>
        <v>1229652</v>
      </c>
      <c r="AM3" s="8">
        <f t="shared" si="0"/>
        <v>9776392</v>
      </c>
      <c r="AN3" s="8">
        <f t="shared" si="0"/>
        <v>58032497</v>
      </c>
      <c r="AO3" s="8">
        <f t="shared" si="0"/>
        <v>13595139</v>
      </c>
      <c r="AP3" s="8">
        <f t="shared" si="0"/>
        <v>11311511</v>
      </c>
      <c r="AQ3" s="8">
        <f t="shared" si="0"/>
        <v>123802555</v>
      </c>
      <c r="AR3" s="8">
        <f t="shared" si="0"/>
        <v>48196163</v>
      </c>
      <c r="AS3" s="8">
        <f t="shared" si="0"/>
        <v>1411703</v>
      </c>
      <c r="AT3" s="9">
        <f t="shared" si="0"/>
        <v>0.392421946147399</v>
      </c>
      <c r="AU3" s="9">
        <f t="shared" si="0"/>
        <v>0.21314621415760901</v>
      </c>
      <c r="AV3" s="9">
        <f t="shared" si="0"/>
        <v>0.69211498213408096</v>
      </c>
      <c r="AW3" s="9">
        <f t="shared" si="0"/>
        <v>0.39443183969499102</v>
      </c>
      <c r="AX3" s="9">
        <f t="shared" si="0"/>
        <v>0.297683142439089</v>
      </c>
      <c r="AY3" s="9">
        <f t="shared" si="0"/>
        <v>2.2701638285256877E-2</v>
      </c>
    </row>
    <row r="4" spans="1:51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3" t="s">
        <v>44</v>
      </c>
      <c r="AS5" s="13" t="s">
        <v>45</v>
      </c>
      <c r="AT5" s="13" t="s">
        <v>46</v>
      </c>
      <c r="AU5" s="13" t="s">
        <v>47</v>
      </c>
      <c r="AV5" s="13" t="s">
        <v>48</v>
      </c>
      <c r="AW5" s="13" t="s">
        <v>49</v>
      </c>
      <c r="AX5" s="13" t="s">
        <v>50</v>
      </c>
      <c r="AY5" s="13" t="s">
        <v>51</v>
      </c>
    </row>
    <row r="6" spans="1:51" ht="15.6" x14ac:dyDescent="0.3">
      <c r="A6" s="14" t="s">
        <v>54</v>
      </c>
      <c r="B6" s="15">
        <v>412294.73</v>
      </c>
      <c r="C6" s="15">
        <v>74421361.379999995</v>
      </c>
      <c r="D6" s="15">
        <v>9654854.75</v>
      </c>
      <c r="E6" s="15">
        <v>2195693.19</v>
      </c>
      <c r="F6" s="15">
        <v>158549.49</v>
      </c>
      <c r="G6" s="15"/>
      <c r="H6" s="15">
        <v>8077570.1200000001</v>
      </c>
      <c r="I6" s="15"/>
      <c r="J6" s="15">
        <v>118918.39</v>
      </c>
      <c r="K6" s="15">
        <v>634359.18999999994</v>
      </c>
      <c r="L6" s="15"/>
      <c r="M6" s="15">
        <v>6643432.3099999996</v>
      </c>
      <c r="N6" s="15">
        <v>4555429.9400000004</v>
      </c>
      <c r="O6" s="15">
        <v>1006738.35</v>
      </c>
      <c r="P6" s="15">
        <v>586198.66</v>
      </c>
      <c r="Q6" s="15">
        <v>5413999.9900000002</v>
      </c>
      <c r="R6" s="15">
        <v>106609.11</v>
      </c>
      <c r="S6" s="15">
        <v>59457.59</v>
      </c>
      <c r="T6" s="15"/>
      <c r="U6" s="15"/>
      <c r="V6" s="15"/>
      <c r="W6" s="15"/>
      <c r="X6" s="15"/>
      <c r="Y6" s="15">
        <v>114045467.2</v>
      </c>
      <c r="Z6" s="15">
        <v>186898647.40000001</v>
      </c>
      <c r="AA6" s="15">
        <v>-72853180.159999996</v>
      </c>
      <c r="AB6" s="15">
        <v>179162043.94999999</v>
      </c>
      <c r="AC6" s="15">
        <v>4921539.08</v>
      </c>
      <c r="AD6" s="15">
        <v>7736603.4199999999</v>
      </c>
      <c r="AE6" s="15">
        <v>186898647.37</v>
      </c>
      <c r="AF6" s="15">
        <v>20572322.489999998</v>
      </c>
      <c r="AG6" s="15">
        <v>2141543.037</v>
      </c>
      <c r="AH6" s="24">
        <v>-521801.47</v>
      </c>
      <c r="AI6" s="15">
        <v>-4770484.95</v>
      </c>
      <c r="AJ6" s="15">
        <v>17421579.109999999</v>
      </c>
      <c r="AK6" s="15">
        <v>46091233.640000001</v>
      </c>
      <c r="AL6" s="15">
        <v>0</v>
      </c>
      <c r="AM6" s="15">
        <v>75719005.150000006</v>
      </c>
      <c r="AN6" s="15">
        <v>47807129.780000001</v>
      </c>
      <c r="AO6" s="15">
        <v>14890750.029999999</v>
      </c>
      <c r="AP6" s="15">
        <v>55712316.670000002</v>
      </c>
      <c r="AQ6" s="15">
        <v>240274494.80000001</v>
      </c>
      <c r="AR6" s="16">
        <v>116267916.09999999</v>
      </c>
      <c r="AS6" s="16">
        <v>0</v>
      </c>
      <c r="AT6" s="17">
        <v>0.49875810451455899</v>
      </c>
      <c r="AU6" s="17">
        <v>0.31367466047633602</v>
      </c>
      <c r="AV6" s="17">
        <v>0.30688567919562998</v>
      </c>
      <c r="AW6" s="17">
        <v>0.18756723549398599</v>
      </c>
      <c r="AX6" s="17">
        <v>0.119318443701644</v>
      </c>
      <c r="AY6" s="17">
        <f>Y6/$Y$32</f>
        <v>5.8712180854860505E-2</v>
      </c>
    </row>
    <row r="7" spans="1:51" ht="15.6" x14ac:dyDescent="0.3">
      <c r="A7" s="14" t="s">
        <v>55</v>
      </c>
      <c r="B7" s="15"/>
      <c r="C7" s="15">
        <v>6317870</v>
      </c>
      <c r="D7" s="15">
        <v>22420871</v>
      </c>
      <c r="E7" s="15"/>
      <c r="F7" s="15"/>
      <c r="G7" s="15"/>
      <c r="H7" s="15"/>
      <c r="I7" s="15">
        <v>3630527</v>
      </c>
      <c r="J7" s="15">
        <v>323170</v>
      </c>
      <c r="K7" s="15">
        <v>589325</v>
      </c>
      <c r="L7" s="15">
        <v>137953</v>
      </c>
      <c r="M7" s="15"/>
      <c r="N7" s="15">
        <v>1055989</v>
      </c>
      <c r="O7" s="15">
        <v>406401</v>
      </c>
      <c r="P7" s="15"/>
      <c r="Q7" s="15">
        <v>2924694</v>
      </c>
      <c r="R7" s="15"/>
      <c r="S7" s="15">
        <v>57733</v>
      </c>
      <c r="T7" s="15"/>
      <c r="U7" s="15"/>
      <c r="V7" s="15"/>
      <c r="W7" s="15"/>
      <c r="X7" s="15"/>
      <c r="Y7" s="15">
        <v>37864533</v>
      </c>
      <c r="Z7" s="15">
        <v>18414736</v>
      </c>
      <c r="AA7" s="15">
        <v>19449797</v>
      </c>
      <c r="AB7" s="15">
        <v>11980738</v>
      </c>
      <c r="AC7" s="15">
        <v>13069653</v>
      </c>
      <c r="AD7" s="15">
        <v>6433998</v>
      </c>
      <c r="AE7" s="15">
        <v>18414736</v>
      </c>
      <c r="AF7" s="15">
        <v>11715596</v>
      </c>
      <c r="AG7" s="15">
        <v>8700281</v>
      </c>
      <c r="AH7" s="15">
        <v>0</v>
      </c>
      <c r="AI7" s="15">
        <v>-13069653</v>
      </c>
      <c r="AJ7" s="15">
        <v>5142357</v>
      </c>
      <c r="AK7" s="15">
        <v>12662307</v>
      </c>
      <c r="AL7" s="15">
        <v>795584</v>
      </c>
      <c r="AM7" s="15">
        <v>5616739</v>
      </c>
      <c r="AN7" s="15">
        <v>123444313</v>
      </c>
      <c r="AO7" s="15">
        <v>25583167</v>
      </c>
      <c r="AP7" s="15">
        <v>1544255</v>
      </c>
      <c r="AQ7" s="15">
        <v>169646365</v>
      </c>
      <c r="AR7" s="16">
        <v>29883382</v>
      </c>
      <c r="AS7" s="16">
        <v>4426477</v>
      </c>
      <c r="AT7" s="17">
        <v>0.420223098239288</v>
      </c>
      <c r="AU7" s="17">
        <v>0.34899781261958801</v>
      </c>
      <c r="AV7" s="17">
        <v>0.69957044013789704</v>
      </c>
      <c r="AW7" s="17">
        <v>0.23077908914112299</v>
      </c>
      <c r="AX7" s="17">
        <v>0.46879135099677399</v>
      </c>
      <c r="AY7" s="17">
        <f>Y7/$Y$32</f>
        <v>1.949318428922911E-2</v>
      </c>
    </row>
    <row r="8" spans="1:51" ht="15.6" x14ac:dyDescent="0.3">
      <c r="A8" s="14" t="s">
        <v>56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6"/>
      <c r="AS8" s="16"/>
      <c r="AT8" s="17"/>
      <c r="AU8" s="17"/>
      <c r="AV8" s="17"/>
      <c r="AW8" s="17"/>
      <c r="AX8" s="17"/>
      <c r="AY8" s="17"/>
    </row>
    <row r="9" spans="1:51" ht="15.6" x14ac:dyDescent="0.3">
      <c r="A9" s="14" t="s">
        <v>57</v>
      </c>
      <c r="B9" s="15">
        <v>109745</v>
      </c>
      <c r="C9" s="15"/>
      <c r="D9" s="15">
        <v>2212456</v>
      </c>
      <c r="E9" s="15"/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190442</v>
      </c>
      <c r="M9" s="15">
        <v>0</v>
      </c>
      <c r="N9" s="15">
        <v>130590</v>
      </c>
      <c r="O9" s="15">
        <v>0</v>
      </c>
      <c r="P9" s="15">
        <v>56109</v>
      </c>
      <c r="Q9" s="15">
        <v>4842</v>
      </c>
      <c r="R9" s="15"/>
      <c r="S9" s="15"/>
      <c r="T9" s="15"/>
      <c r="U9" s="15"/>
      <c r="V9" s="15"/>
      <c r="W9" s="15"/>
      <c r="X9" s="15"/>
      <c r="Y9" s="15">
        <v>2704184</v>
      </c>
      <c r="Z9" s="15">
        <v>959671</v>
      </c>
      <c r="AA9" s="15">
        <v>1744513</v>
      </c>
      <c r="AB9" s="15">
        <v>501891</v>
      </c>
      <c r="AC9" s="15">
        <v>3572341</v>
      </c>
      <c r="AD9" s="15">
        <v>457780</v>
      </c>
      <c r="AE9" s="15">
        <v>959671</v>
      </c>
      <c r="AF9" s="15">
        <v>1503540</v>
      </c>
      <c r="AG9" s="15">
        <v>120998</v>
      </c>
      <c r="AH9" s="15">
        <v>0</v>
      </c>
      <c r="AI9" s="15">
        <v>-3572341</v>
      </c>
      <c r="AJ9" s="15">
        <v>-1947803</v>
      </c>
      <c r="AK9" s="15">
        <v>79513</v>
      </c>
      <c r="AL9" s="15">
        <v>0</v>
      </c>
      <c r="AM9" s="15">
        <v>2602140</v>
      </c>
      <c r="AN9" s="15">
        <v>2315459</v>
      </c>
      <c r="AO9" s="15">
        <v>23378726</v>
      </c>
      <c r="AP9" s="15">
        <v>624502</v>
      </c>
      <c r="AQ9" s="15">
        <v>29747867</v>
      </c>
      <c r="AR9" s="16">
        <v>2947419</v>
      </c>
      <c r="AS9" s="16">
        <v>3012798</v>
      </c>
      <c r="AT9" s="17">
        <v>0.62356218514265205</v>
      </c>
      <c r="AU9" s="17">
        <v>0.18658300745973699</v>
      </c>
      <c r="AV9" s="17">
        <v>1.67140951165202</v>
      </c>
      <c r="AW9" s="17">
        <v>0.18985480739760999</v>
      </c>
      <c r="AX9" s="17">
        <v>1.4815547042544099</v>
      </c>
      <c r="AY9" s="17">
        <f t="shared" ref="AY9:AY31" si="1">Y9/$Y$32</f>
        <v>1.3921512530996943E-3</v>
      </c>
    </row>
    <row r="10" spans="1:51" ht="15.6" x14ac:dyDescent="0.3">
      <c r="A10" s="14" t="s">
        <v>58</v>
      </c>
      <c r="B10" s="15">
        <v>297031</v>
      </c>
      <c r="C10" s="15">
        <v>7877162</v>
      </c>
      <c r="D10" s="15">
        <v>13748211</v>
      </c>
      <c r="E10" s="15">
        <v>3428338</v>
      </c>
      <c r="F10" s="15">
        <v>1415</v>
      </c>
      <c r="G10" s="15"/>
      <c r="H10" s="15">
        <v>185012</v>
      </c>
      <c r="I10" s="15">
        <v>517335</v>
      </c>
      <c r="J10" s="15">
        <v>17193</v>
      </c>
      <c r="K10" s="15">
        <v>307741</v>
      </c>
      <c r="L10" s="15">
        <v>159190</v>
      </c>
      <c r="M10" s="15">
        <v>4412404</v>
      </c>
      <c r="N10" s="15">
        <v>430906</v>
      </c>
      <c r="O10" s="15">
        <v>320124</v>
      </c>
      <c r="P10" s="15"/>
      <c r="Q10" s="15">
        <v>442056</v>
      </c>
      <c r="R10" s="15">
        <v>23944</v>
      </c>
      <c r="S10" s="15"/>
      <c r="T10" s="15"/>
      <c r="U10" s="15"/>
      <c r="V10" s="15"/>
      <c r="W10" s="15"/>
      <c r="X10" s="15"/>
      <c r="Y10" s="15">
        <v>32168062</v>
      </c>
      <c r="Z10" s="15">
        <v>9759633</v>
      </c>
      <c r="AA10" s="15">
        <v>22408429</v>
      </c>
      <c r="AB10" s="15">
        <v>5099191</v>
      </c>
      <c r="AC10" s="15">
        <v>13038458</v>
      </c>
      <c r="AD10" s="18">
        <v>4660442</v>
      </c>
      <c r="AE10" s="15">
        <v>9759633</v>
      </c>
      <c r="AF10" s="15">
        <v>15296222</v>
      </c>
      <c r="AG10" s="15">
        <v>4981870</v>
      </c>
      <c r="AH10" s="15">
        <v>-1514398</v>
      </c>
      <c r="AI10" s="15">
        <v>1731498</v>
      </c>
      <c r="AJ10" s="15">
        <v>15639785</v>
      </c>
      <c r="AK10" s="15">
        <v>19204612</v>
      </c>
      <c r="AL10" s="15">
        <v>0</v>
      </c>
      <c r="AM10" s="15">
        <v>20724110</v>
      </c>
      <c r="AN10" s="15">
        <v>84636012</v>
      </c>
      <c r="AO10" s="15">
        <v>960027</v>
      </c>
      <c r="AP10" s="15">
        <v>11003273</v>
      </c>
      <c r="AQ10" s="15">
        <v>136528034</v>
      </c>
      <c r="AR10" s="16">
        <v>51113502</v>
      </c>
      <c r="AS10" s="16">
        <v>0</v>
      </c>
      <c r="AT10" s="17">
        <v>0.60618315279144497</v>
      </c>
      <c r="AU10" s="17">
        <v>0.20912539693006901</v>
      </c>
      <c r="AV10" s="17">
        <v>0.70140031982672002</v>
      </c>
      <c r="AW10" s="17">
        <v>0.18469145027848499</v>
      </c>
      <c r="AX10" s="17">
        <v>0.51670886954823503</v>
      </c>
      <c r="AY10" s="17">
        <f t="shared" si="1"/>
        <v>1.6560562381512746E-2</v>
      </c>
    </row>
    <row r="11" spans="1:51" ht="15.6" x14ac:dyDescent="0.3">
      <c r="A11" s="14" t="s">
        <v>52</v>
      </c>
      <c r="B11" s="15">
        <v>2436220</v>
      </c>
      <c r="C11" s="15">
        <v>2402850</v>
      </c>
      <c r="D11" s="15">
        <v>19662443</v>
      </c>
      <c r="E11" s="15">
        <v>14566190</v>
      </c>
      <c r="F11" s="15"/>
      <c r="G11" s="15"/>
      <c r="H11" s="15">
        <v>443305</v>
      </c>
      <c r="I11" s="15">
        <v>206439</v>
      </c>
      <c r="J11" s="15">
        <v>0</v>
      </c>
      <c r="K11" s="15">
        <v>239245</v>
      </c>
      <c r="L11" s="15">
        <v>1091461</v>
      </c>
      <c r="M11" s="15"/>
      <c r="N11" s="15">
        <v>746014</v>
      </c>
      <c r="O11" s="15"/>
      <c r="P11" s="15">
        <v>1601302</v>
      </c>
      <c r="Q11" s="15">
        <v>561211</v>
      </c>
      <c r="R11" s="15">
        <v>140114</v>
      </c>
      <c r="S11" s="15"/>
      <c r="T11" s="15"/>
      <c r="U11" s="15"/>
      <c r="V11" s="15"/>
      <c r="W11" s="15"/>
      <c r="X11" s="15"/>
      <c r="Y11" s="15">
        <v>44096794</v>
      </c>
      <c r="Z11" s="15">
        <v>23392708</v>
      </c>
      <c r="AA11" s="15">
        <v>20704086</v>
      </c>
      <c r="AB11" s="15">
        <v>9018929</v>
      </c>
      <c r="AC11" s="15">
        <v>10848089</v>
      </c>
      <c r="AD11" s="18">
        <v>14373779</v>
      </c>
      <c r="AE11" s="15">
        <v>23392708</v>
      </c>
      <c r="AF11" s="15">
        <v>14300535</v>
      </c>
      <c r="AG11" s="15">
        <v>6771468</v>
      </c>
      <c r="AH11" s="15">
        <v>3137325</v>
      </c>
      <c r="AI11" s="15">
        <v>-10404844</v>
      </c>
      <c r="AJ11" s="15">
        <v>9663140</v>
      </c>
      <c r="AK11" s="15">
        <v>29009287</v>
      </c>
      <c r="AL11" s="15">
        <v>1229652</v>
      </c>
      <c r="AM11" s="15">
        <v>9776392</v>
      </c>
      <c r="AN11" s="15">
        <v>58032497</v>
      </c>
      <c r="AO11" s="15">
        <v>13595139</v>
      </c>
      <c r="AP11" s="15">
        <v>11311511</v>
      </c>
      <c r="AQ11" s="15">
        <v>123802555</v>
      </c>
      <c r="AR11" s="16">
        <v>48196163</v>
      </c>
      <c r="AS11" s="16">
        <v>1411703</v>
      </c>
      <c r="AT11" s="17">
        <v>0.392421946147399</v>
      </c>
      <c r="AU11" s="17">
        <v>0.21314621415760901</v>
      </c>
      <c r="AV11" s="17">
        <v>0.69211498213408096</v>
      </c>
      <c r="AW11" s="17">
        <v>0.39443183969499102</v>
      </c>
      <c r="AX11" s="17">
        <v>0.297683142439089</v>
      </c>
      <c r="AY11" s="17">
        <f t="shared" si="1"/>
        <v>2.2701638285256877E-2</v>
      </c>
    </row>
    <row r="12" spans="1:51" ht="15.6" x14ac:dyDescent="0.3">
      <c r="A12" s="14" t="s">
        <v>59</v>
      </c>
      <c r="B12" s="15">
        <v>5551111</v>
      </c>
      <c r="C12" s="15">
        <v>93543277</v>
      </c>
      <c r="D12" s="15">
        <v>109654699</v>
      </c>
      <c r="E12" s="15">
        <v>13481908</v>
      </c>
      <c r="F12" s="15">
        <v>891292</v>
      </c>
      <c r="G12" s="15">
        <v>0</v>
      </c>
      <c r="H12" s="15">
        <v>7097835</v>
      </c>
      <c r="I12" s="15">
        <v>2596159</v>
      </c>
      <c r="J12" s="15">
        <v>1167323</v>
      </c>
      <c r="K12" s="15">
        <v>7161599</v>
      </c>
      <c r="L12" s="15">
        <v>5029674</v>
      </c>
      <c r="M12" s="15">
        <v>13993174</v>
      </c>
      <c r="N12" s="15">
        <v>27433186</v>
      </c>
      <c r="O12" s="15">
        <v>6879758</v>
      </c>
      <c r="P12" s="15">
        <v>6580887</v>
      </c>
      <c r="Q12" s="15">
        <v>8928819</v>
      </c>
      <c r="R12" s="15">
        <v>10977957</v>
      </c>
      <c r="S12" s="15">
        <v>884672</v>
      </c>
      <c r="T12" s="15">
        <v>0</v>
      </c>
      <c r="U12" s="15">
        <v>3340</v>
      </c>
      <c r="V12" s="15">
        <v>0</v>
      </c>
      <c r="W12" s="15">
        <v>0</v>
      </c>
      <c r="X12" s="15">
        <v>0</v>
      </c>
      <c r="Y12" s="15">
        <v>321856670</v>
      </c>
      <c r="Z12" s="15">
        <v>374876146</v>
      </c>
      <c r="AA12" s="15">
        <v>-53019476</v>
      </c>
      <c r="AB12" s="15">
        <v>324941161</v>
      </c>
      <c r="AC12" s="15">
        <v>68665147</v>
      </c>
      <c r="AD12" s="15">
        <v>49934985</v>
      </c>
      <c r="AE12" s="15">
        <v>374876146</v>
      </c>
      <c r="AF12" s="15">
        <v>91151962</v>
      </c>
      <c r="AG12" s="15">
        <v>24742966</v>
      </c>
      <c r="AH12" s="15">
        <v>-6019450</v>
      </c>
      <c r="AI12" s="15">
        <v>-65368091</v>
      </c>
      <c r="AJ12" s="15">
        <v>36909534</v>
      </c>
      <c r="AK12" s="15">
        <v>120834628</v>
      </c>
      <c r="AL12" s="15">
        <v>0</v>
      </c>
      <c r="AM12" s="15">
        <v>199090439</v>
      </c>
      <c r="AN12" s="15">
        <v>350811268</v>
      </c>
      <c r="AO12" s="15">
        <v>76159851</v>
      </c>
      <c r="AP12" s="15">
        <v>19259430</v>
      </c>
      <c r="AQ12" s="15">
        <v>766155616</v>
      </c>
      <c r="AR12" s="16">
        <v>411841748</v>
      </c>
      <c r="AS12" s="16">
        <v>0</v>
      </c>
      <c r="AT12" s="17">
        <v>0.47631690205681998</v>
      </c>
      <c r="AU12" s="17">
        <v>0.262746560346173</v>
      </c>
      <c r="AV12" s="17">
        <v>0.61974801439567395</v>
      </c>
      <c r="AW12" s="17">
        <v>0.26093653759700502</v>
      </c>
      <c r="AX12" s="17">
        <v>0.35881147679866898</v>
      </c>
      <c r="AY12" s="17">
        <f t="shared" si="1"/>
        <v>0.16569625678540914</v>
      </c>
    </row>
    <row r="13" spans="1:51" ht="15.6" x14ac:dyDescent="0.3">
      <c r="A13" s="14" t="s">
        <v>60</v>
      </c>
      <c r="B13" s="15"/>
      <c r="C13" s="15">
        <v>66028133</v>
      </c>
      <c r="D13" s="15">
        <v>49684362</v>
      </c>
      <c r="E13" s="15"/>
      <c r="F13" s="15"/>
      <c r="G13" s="15"/>
      <c r="H13" s="15"/>
      <c r="I13" s="15"/>
      <c r="J13" s="15"/>
      <c r="K13" s="15"/>
      <c r="L13" s="15"/>
      <c r="M13" s="15">
        <v>22794742</v>
      </c>
      <c r="N13" s="15">
        <v>8687962</v>
      </c>
      <c r="O13" s="15"/>
      <c r="P13" s="15">
        <v>13854446</v>
      </c>
      <c r="Q13" s="15">
        <v>8885610</v>
      </c>
      <c r="R13" s="15"/>
      <c r="S13" s="15"/>
      <c r="T13" s="15"/>
      <c r="U13" s="15"/>
      <c r="V13" s="15"/>
      <c r="W13" s="15"/>
      <c r="X13" s="15"/>
      <c r="Y13" s="15">
        <v>169935255</v>
      </c>
      <c r="Z13" s="15">
        <v>42392332</v>
      </c>
      <c r="AA13" s="15">
        <v>127542923</v>
      </c>
      <c r="AB13" s="15">
        <v>25014894</v>
      </c>
      <c r="AC13" s="15">
        <v>3612478</v>
      </c>
      <c r="AD13" s="18">
        <v>17377438</v>
      </c>
      <c r="AE13" s="15">
        <v>42392332</v>
      </c>
      <c r="AF13" s="15">
        <v>30632868</v>
      </c>
      <c r="AG13" s="15">
        <v>16348405</v>
      </c>
      <c r="AH13" s="15">
        <v>0</v>
      </c>
      <c r="AI13" s="15">
        <v>-3612478</v>
      </c>
      <c r="AJ13" s="15">
        <v>32164295</v>
      </c>
      <c r="AK13" s="15">
        <v>64643105</v>
      </c>
      <c r="AL13" s="15">
        <v>0</v>
      </c>
      <c r="AM13" s="15">
        <v>230308451</v>
      </c>
      <c r="AN13" s="15">
        <v>170067236</v>
      </c>
      <c r="AO13" s="15">
        <v>584878</v>
      </c>
      <c r="AP13" s="15">
        <v>48688149</v>
      </c>
      <c r="AQ13" s="15">
        <v>514950796</v>
      </c>
      <c r="AR13" s="16">
        <v>287317833</v>
      </c>
      <c r="AS13" s="16">
        <v>4354622</v>
      </c>
      <c r="AT13" s="17">
        <v>0.43989446565631102</v>
      </c>
      <c r="AU13" s="17">
        <v>0.310561848016776</v>
      </c>
      <c r="AV13" s="17">
        <v>0.30141963472015898</v>
      </c>
      <c r="AW13" s="17">
        <v>0.24954368632691101</v>
      </c>
      <c r="AX13" s="17">
        <v>5.1875948393248099E-2</v>
      </c>
      <c r="AY13" s="17">
        <f t="shared" si="1"/>
        <v>8.7485015144703956E-2</v>
      </c>
    </row>
    <row r="14" spans="1:51" ht="15.6" x14ac:dyDescent="0.3">
      <c r="A14" s="14" t="s">
        <v>61</v>
      </c>
      <c r="B14" s="15">
        <v>587741</v>
      </c>
      <c r="C14" s="15">
        <v>77224055</v>
      </c>
      <c r="D14" s="15">
        <v>17490674</v>
      </c>
      <c r="E14" s="15">
        <v>5941280</v>
      </c>
      <c r="F14" s="15"/>
      <c r="G14" s="15">
        <v>868412</v>
      </c>
      <c r="H14" s="15">
        <v>9140856</v>
      </c>
      <c r="I14" s="15">
        <v>211886</v>
      </c>
      <c r="J14" s="15"/>
      <c r="K14" s="15">
        <v>812676</v>
      </c>
      <c r="L14" s="15">
        <v>203441</v>
      </c>
      <c r="M14" s="15">
        <v>7222763</v>
      </c>
      <c r="N14" s="15">
        <v>10469223</v>
      </c>
      <c r="O14" s="15">
        <v>165560</v>
      </c>
      <c r="P14" s="15">
        <v>6881060</v>
      </c>
      <c r="Q14" s="15">
        <v>13597886</v>
      </c>
      <c r="R14" s="15">
        <v>5109496</v>
      </c>
      <c r="S14" s="15"/>
      <c r="T14" s="15"/>
      <c r="U14" s="15">
        <v>97808</v>
      </c>
      <c r="V14" s="15"/>
      <c r="W14" s="15"/>
      <c r="X14" s="15"/>
      <c r="Y14" s="15">
        <v>156024817</v>
      </c>
      <c r="Z14" s="15">
        <v>115628019</v>
      </c>
      <c r="AA14" s="15">
        <v>40396798</v>
      </c>
      <c r="AB14" s="15">
        <v>71021403</v>
      </c>
      <c r="AC14" s="15">
        <v>9291055</v>
      </c>
      <c r="AD14" s="18">
        <v>44606616</v>
      </c>
      <c r="AE14" s="15">
        <v>115628019</v>
      </c>
      <c r="AF14" s="15">
        <v>7407445</v>
      </c>
      <c r="AG14" s="15">
        <v>3839262</v>
      </c>
      <c r="AH14" s="15">
        <v>2121796</v>
      </c>
      <c r="AI14" s="15">
        <v>-9291055</v>
      </c>
      <c r="AJ14" s="15">
        <v>2458370</v>
      </c>
      <c r="AK14" s="15">
        <v>46560791</v>
      </c>
      <c r="AL14" s="15">
        <v>0</v>
      </c>
      <c r="AM14" s="15">
        <v>156134841</v>
      </c>
      <c r="AN14" s="15">
        <v>182027613</v>
      </c>
      <c r="AO14" s="15">
        <v>12487285</v>
      </c>
      <c r="AP14" s="15">
        <v>12500362</v>
      </c>
      <c r="AQ14" s="15">
        <v>413802368</v>
      </c>
      <c r="AR14" s="16">
        <v>264687202</v>
      </c>
      <c r="AS14" s="16">
        <v>0</v>
      </c>
      <c r="AT14" s="17">
        <v>6.0725702412631401E-2</v>
      </c>
      <c r="AU14" s="17">
        <v>0.57359246142786602</v>
      </c>
      <c r="AV14" s="17">
        <v>0.44184923814890398</v>
      </c>
      <c r="AW14" s="17">
        <v>0.36568183615950201</v>
      </c>
      <c r="AX14" s="17">
        <v>7.6167401989402694E-2</v>
      </c>
      <c r="AY14" s="17">
        <f t="shared" si="1"/>
        <v>8.0323729635705443E-2</v>
      </c>
    </row>
    <row r="15" spans="1:51" ht="15.6" x14ac:dyDescent="0.3">
      <c r="A15" s="14" t="s">
        <v>62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6"/>
      <c r="AS15" s="16"/>
      <c r="AT15" s="17"/>
      <c r="AU15" s="17"/>
      <c r="AV15" s="17"/>
      <c r="AW15" s="17"/>
      <c r="AX15" s="17"/>
      <c r="AY15" s="17"/>
    </row>
    <row r="16" spans="1:51" ht="15.6" x14ac:dyDescent="0.3">
      <c r="A16" s="14" t="s">
        <v>63</v>
      </c>
      <c r="B16" s="15">
        <v>627037</v>
      </c>
      <c r="C16" s="15">
        <v>2508148</v>
      </c>
      <c r="D16" s="15">
        <v>13696695</v>
      </c>
      <c r="E16" s="15">
        <v>5870012</v>
      </c>
      <c r="F16" s="15"/>
      <c r="G16" s="15"/>
      <c r="H16" s="15">
        <v>629034</v>
      </c>
      <c r="I16" s="15">
        <v>419356</v>
      </c>
      <c r="J16" s="15">
        <v>104839</v>
      </c>
      <c r="K16" s="15">
        <v>209678</v>
      </c>
      <c r="L16" s="15">
        <v>733873</v>
      </c>
      <c r="M16" s="15"/>
      <c r="N16" s="15">
        <v>2195837</v>
      </c>
      <c r="O16" s="15"/>
      <c r="P16" s="15">
        <v>6090875</v>
      </c>
      <c r="Q16" s="15">
        <v>142886</v>
      </c>
      <c r="R16" s="15"/>
      <c r="S16" s="15"/>
      <c r="T16" s="15"/>
      <c r="U16" s="15"/>
      <c r="V16" s="15"/>
      <c r="W16" s="15"/>
      <c r="X16" s="15"/>
      <c r="Y16" s="15">
        <v>33228270</v>
      </c>
      <c r="Z16" s="15">
        <v>20640380</v>
      </c>
      <c r="AA16" s="15">
        <v>12587890</v>
      </c>
      <c r="AB16" s="15">
        <v>20640380</v>
      </c>
      <c r="AC16" s="15">
        <v>5758305</v>
      </c>
      <c r="AD16" s="18">
        <v>0</v>
      </c>
      <c r="AE16" s="15">
        <v>20640380</v>
      </c>
      <c r="AF16" s="15">
        <v>4273496</v>
      </c>
      <c r="AG16" s="15">
        <v>5284929</v>
      </c>
      <c r="AH16" s="15">
        <v>302951</v>
      </c>
      <c r="AI16" s="15">
        <v>-5709467</v>
      </c>
      <c r="AJ16" s="15">
        <v>4151909</v>
      </c>
      <c r="AK16" s="15">
        <v>5982467</v>
      </c>
      <c r="AL16" s="15">
        <v>0</v>
      </c>
      <c r="AM16" s="15">
        <v>0</v>
      </c>
      <c r="AN16" s="15">
        <v>71861894</v>
      </c>
      <c r="AO16" s="15">
        <v>17374476</v>
      </c>
      <c r="AP16" s="15">
        <v>7962755</v>
      </c>
      <c r="AQ16" s="15">
        <v>103181592</v>
      </c>
      <c r="AR16" s="16">
        <v>30595899</v>
      </c>
      <c r="AS16" s="16">
        <v>6045951</v>
      </c>
      <c r="AT16" s="17">
        <v>0.17153075659524</v>
      </c>
      <c r="AU16" s="17">
        <v>0.82846924340475903</v>
      </c>
      <c r="AV16" s="17">
        <v>0.231128428189977</v>
      </c>
      <c r="AW16" s="17"/>
      <c r="AX16" s="17">
        <v>0.231128428189977</v>
      </c>
      <c r="AY16" s="17">
        <f t="shared" si="1"/>
        <v>1.7106372095550815E-2</v>
      </c>
    </row>
    <row r="17" spans="1:51" ht="15.6" x14ac:dyDescent="0.3">
      <c r="A17" s="14" t="s">
        <v>64</v>
      </c>
      <c r="B17" s="15">
        <v>126165</v>
      </c>
      <c r="C17" s="15">
        <v>504662</v>
      </c>
      <c r="D17" s="15">
        <v>13759476</v>
      </c>
      <c r="E17" s="15">
        <v>6350527</v>
      </c>
      <c r="F17" s="15">
        <v>1058421</v>
      </c>
      <c r="G17" s="15"/>
      <c r="H17" s="15">
        <v>1537764</v>
      </c>
      <c r="I17" s="15">
        <v>41709</v>
      </c>
      <c r="J17" s="15"/>
      <c r="K17" s="15">
        <v>121918</v>
      </c>
      <c r="L17" s="15">
        <v>19250</v>
      </c>
      <c r="M17" s="15">
        <v>137960</v>
      </c>
      <c r="N17" s="15">
        <v>483003</v>
      </c>
      <c r="O17" s="15">
        <v>322002</v>
      </c>
      <c r="P17" s="15">
        <v>829883</v>
      </c>
      <c r="Q17" s="15">
        <v>13541</v>
      </c>
      <c r="R17" s="15">
        <v>1505</v>
      </c>
      <c r="S17" s="15"/>
      <c r="T17" s="15"/>
      <c r="U17" s="15"/>
      <c r="V17" s="15"/>
      <c r="W17" s="15"/>
      <c r="X17" s="15"/>
      <c r="Y17" s="15">
        <v>25307786</v>
      </c>
      <c r="Z17" s="15">
        <v>10762367</v>
      </c>
      <c r="AA17" s="15">
        <v>14545419</v>
      </c>
      <c r="AB17" s="15">
        <v>10762367</v>
      </c>
      <c r="AC17" s="15">
        <v>12967057</v>
      </c>
      <c r="AD17" s="18">
        <v>0</v>
      </c>
      <c r="AE17" s="15">
        <v>10762367</v>
      </c>
      <c r="AF17" s="15">
        <v>15876576</v>
      </c>
      <c r="AG17" s="15">
        <v>1173694</v>
      </c>
      <c r="AH17" s="15">
        <v>0</v>
      </c>
      <c r="AI17" s="15">
        <v>-12700885</v>
      </c>
      <c r="AJ17" s="15">
        <v>2800539</v>
      </c>
      <c r="AK17" s="15">
        <v>12469316</v>
      </c>
      <c r="AL17" s="15">
        <v>0</v>
      </c>
      <c r="AM17" s="15">
        <v>0</v>
      </c>
      <c r="AN17" s="15">
        <v>69118580</v>
      </c>
      <c r="AO17" s="15">
        <v>5198426</v>
      </c>
      <c r="AP17" s="15">
        <v>47304844</v>
      </c>
      <c r="AQ17" s="15">
        <v>135946758</v>
      </c>
      <c r="AR17" s="16">
        <v>23653477</v>
      </c>
      <c r="AS17" s="16">
        <v>4246190</v>
      </c>
      <c r="AT17" s="17">
        <v>0.69504783687123795</v>
      </c>
      <c r="AU17" s="17">
        <v>0.304952163128761</v>
      </c>
      <c r="AV17" s="17">
        <v>0.56767434731746003</v>
      </c>
      <c r="AW17" s="17"/>
      <c r="AX17" s="17">
        <v>0.56767434731746003</v>
      </c>
      <c r="AY17" s="17">
        <f t="shared" si="1"/>
        <v>1.3028797594053844E-2</v>
      </c>
    </row>
    <row r="18" spans="1:51" ht="15.6" x14ac:dyDescent="0.3">
      <c r="A18" s="14" t="s">
        <v>65</v>
      </c>
      <c r="B18" s="15"/>
      <c r="C18" s="15">
        <v>2067532</v>
      </c>
      <c r="D18" s="15">
        <v>26422835</v>
      </c>
      <c r="E18" s="15"/>
      <c r="F18" s="15"/>
      <c r="G18" s="15"/>
      <c r="H18" s="15">
        <v>1372148</v>
      </c>
      <c r="I18" s="15"/>
      <c r="J18" s="15">
        <v>144180</v>
      </c>
      <c r="K18" s="15"/>
      <c r="L18" s="15">
        <v>418600</v>
      </c>
      <c r="M18" s="15"/>
      <c r="N18" s="15">
        <v>284406</v>
      </c>
      <c r="O18" s="15"/>
      <c r="P18" s="15">
        <v>3461001</v>
      </c>
      <c r="Q18" s="15">
        <v>13237</v>
      </c>
      <c r="R18" s="15"/>
      <c r="S18" s="15"/>
      <c r="T18" s="15"/>
      <c r="U18" s="15"/>
      <c r="V18" s="15"/>
      <c r="W18" s="15"/>
      <c r="X18" s="15"/>
      <c r="Y18" s="15">
        <v>34183939</v>
      </c>
      <c r="Z18" s="15">
        <v>26003046</v>
      </c>
      <c r="AA18" s="15">
        <v>8180893</v>
      </c>
      <c r="AB18" s="15">
        <v>14138992</v>
      </c>
      <c r="AC18" s="15">
        <v>7444652</v>
      </c>
      <c r="AD18" s="18">
        <v>11864054</v>
      </c>
      <c r="AE18" s="15">
        <v>26003046</v>
      </c>
      <c r="AF18" s="15">
        <v>5936856</v>
      </c>
      <c r="AG18" s="15">
        <v>10362479</v>
      </c>
      <c r="AH18" s="15">
        <v>2726478</v>
      </c>
      <c r="AI18" s="15">
        <v>-7232501</v>
      </c>
      <c r="AJ18" s="15">
        <v>8255319</v>
      </c>
      <c r="AK18" s="15">
        <v>17680387</v>
      </c>
      <c r="AL18" s="15">
        <v>0</v>
      </c>
      <c r="AM18" s="15">
        <v>0</v>
      </c>
      <c r="AN18" s="15">
        <v>87268849</v>
      </c>
      <c r="AO18" s="15">
        <v>25949618</v>
      </c>
      <c r="AP18" s="15">
        <v>26369318</v>
      </c>
      <c r="AQ18" s="15">
        <v>158868250</v>
      </c>
      <c r="AR18" s="16">
        <v>28134745</v>
      </c>
      <c r="AS18" s="16">
        <v>23753031</v>
      </c>
      <c r="AT18" s="17">
        <v>0.23542073088231799</v>
      </c>
      <c r="AU18" s="17">
        <v>0.29412078673116399</v>
      </c>
      <c r="AV18" s="17">
        <v>0.76566951917172998</v>
      </c>
      <c r="AW18" s="17">
        <v>0.470458482386517</v>
      </c>
      <c r="AX18" s="17">
        <v>0.29521103678521199</v>
      </c>
      <c r="AY18" s="17">
        <f t="shared" si="1"/>
        <v>1.7598363689280579E-2</v>
      </c>
    </row>
    <row r="19" spans="1:51" ht="15.6" x14ac:dyDescent="0.3">
      <c r="A19" s="14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8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6"/>
      <c r="AS19" s="16"/>
      <c r="AT19" s="17"/>
      <c r="AU19" s="17"/>
      <c r="AV19" s="17"/>
      <c r="AW19" s="17"/>
      <c r="AX19" s="17"/>
      <c r="AY19" s="17"/>
    </row>
    <row r="20" spans="1:51" ht="15.6" x14ac:dyDescent="0.3">
      <c r="A20" s="14" t="s">
        <v>67</v>
      </c>
      <c r="B20" s="15"/>
      <c r="C20" s="15">
        <v>8727258</v>
      </c>
      <c r="D20" s="15">
        <v>43739233</v>
      </c>
      <c r="E20" s="15"/>
      <c r="F20" s="15"/>
      <c r="G20" s="15"/>
      <c r="H20" s="15"/>
      <c r="I20" s="15"/>
      <c r="J20" s="15"/>
      <c r="K20" s="15">
        <v>1769263</v>
      </c>
      <c r="L20" s="15"/>
      <c r="M20" s="15">
        <v>1869049</v>
      </c>
      <c r="N20" s="15">
        <v>19799246</v>
      </c>
      <c r="O20" s="15"/>
      <c r="P20" s="15">
        <v>27834679</v>
      </c>
      <c r="Q20" s="15">
        <v>346313</v>
      </c>
      <c r="R20" s="15"/>
      <c r="S20" s="15"/>
      <c r="T20" s="15"/>
      <c r="U20" s="15"/>
      <c r="V20" s="15"/>
      <c r="W20" s="15"/>
      <c r="X20" s="15"/>
      <c r="Y20" s="15">
        <v>104085041</v>
      </c>
      <c r="Z20" s="15">
        <v>59791398</v>
      </c>
      <c r="AA20" s="15">
        <v>44293643</v>
      </c>
      <c r="AB20" s="15">
        <v>38475255</v>
      </c>
      <c r="AC20" s="15">
        <v>17020052</v>
      </c>
      <c r="AD20" s="18">
        <v>21316143</v>
      </c>
      <c r="AE20" s="15">
        <v>59791398</v>
      </c>
      <c r="AF20" s="15">
        <v>14942953</v>
      </c>
      <c r="AG20" s="15">
        <v>7917855</v>
      </c>
      <c r="AH20" s="15">
        <v>0</v>
      </c>
      <c r="AI20" s="15">
        <v>-16994853</v>
      </c>
      <c r="AJ20" s="15">
        <v>3773196</v>
      </c>
      <c r="AK20" s="15">
        <v>11476169</v>
      </c>
      <c r="AL20" s="15">
        <v>0</v>
      </c>
      <c r="AM20" s="15">
        <v>0</v>
      </c>
      <c r="AN20" s="15">
        <v>123755092</v>
      </c>
      <c r="AO20" s="15">
        <v>15612327</v>
      </c>
      <c r="AP20" s="15">
        <v>5823344</v>
      </c>
      <c r="AQ20" s="15">
        <v>156666932</v>
      </c>
      <c r="AR20" s="16">
        <v>53464810</v>
      </c>
      <c r="AS20" s="16">
        <v>0</v>
      </c>
      <c r="AT20" s="17">
        <v>0.20593116701185901</v>
      </c>
      <c r="AU20" s="17">
        <v>0.50030774010498102</v>
      </c>
      <c r="AV20" s="17">
        <v>0.52831708532739197</v>
      </c>
      <c r="AW20" s="17">
        <v>0.29376109288315799</v>
      </c>
      <c r="AX20" s="17">
        <v>0.234555992444233</v>
      </c>
      <c r="AY20" s="17">
        <f t="shared" si="1"/>
        <v>5.3584415948427722E-2</v>
      </c>
    </row>
    <row r="21" spans="1:51" ht="15.6" x14ac:dyDescent="0.3">
      <c r="A21" s="14" t="s">
        <v>68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6"/>
      <c r="AS21" s="16"/>
      <c r="AT21" s="17"/>
      <c r="AU21" s="17"/>
      <c r="AV21" s="17"/>
      <c r="AW21" s="17"/>
      <c r="AX21" s="17"/>
      <c r="AY21" s="17"/>
    </row>
    <row r="22" spans="1:51" ht="15.6" x14ac:dyDescent="0.3">
      <c r="A22" s="14" t="s">
        <v>69</v>
      </c>
      <c r="B22" s="15">
        <v>29712</v>
      </c>
      <c r="C22" s="15">
        <v>1644704</v>
      </c>
      <c r="D22" s="15">
        <v>10416526</v>
      </c>
      <c r="E22" s="15">
        <v>29407383</v>
      </c>
      <c r="F22" s="15">
        <v>39623</v>
      </c>
      <c r="G22" s="15">
        <v>0</v>
      </c>
      <c r="H22" s="15">
        <v>1071077</v>
      </c>
      <c r="I22" s="15">
        <v>0</v>
      </c>
      <c r="J22" s="15">
        <v>0</v>
      </c>
      <c r="K22" s="15">
        <v>265491</v>
      </c>
      <c r="L22" s="15">
        <v>598618</v>
      </c>
      <c r="M22" s="15">
        <v>114843</v>
      </c>
      <c r="N22" s="15">
        <v>306635</v>
      </c>
      <c r="O22" s="15">
        <v>111564</v>
      </c>
      <c r="P22" s="15">
        <v>2164460</v>
      </c>
      <c r="Q22" s="15">
        <v>5842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46176478</v>
      </c>
      <c r="Z22" s="15">
        <v>20637446</v>
      </c>
      <c r="AA22" s="15">
        <v>25539032</v>
      </c>
      <c r="AB22" s="15">
        <v>4394330</v>
      </c>
      <c r="AC22" s="15">
        <v>12640323</v>
      </c>
      <c r="AD22" s="18">
        <v>16243116</v>
      </c>
      <c r="AE22" s="15">
        <v>20637446</v>
      </c>
      <c r="AF22" s="15">
        <v>24727835</v>
      </c>
      <c r="AG22" s="15">
        <v>2310522</v>
      </c>
      <c r="AH22" s="15">
        <v>463619</v>
      </c>
      <c r="AI22" s="15">
        <v>-12634823</v>
      </c>
      <c r="AJ22" s="15">
        <v>10407014</v>
      </c>
      <c r="AK22" s="15">
        <v>4658877</v>
      </c>
      <c r="AL22" s="15">
        <v>2203048</v>
      </c>
      <c r="AM22" s="15">
        <v>642599</v>
      </c>
      <c r="AN22" s="15">
        <v>62573262</v>
      </c>
      <c r="AO22" s="15">
        <v>16636804</v>
      </c>
      <c r="AP22" s="15">
        <v>27269430</v>
      </c>
      <c r="AQ22" s="15">
        <v>113984020</v>
      </c>
      <c r="AR22" s="16">
        <v>13163899</v>
      </c>
      <c r="AS22" s="16">
        <v>7943635</v>
      </c>
      <c r="AT22" s="17">
        <v>0.55945671069612202</v>
      </c>
      <c r="AU22" s="17">
        <v>7.3049723902153293E-2</v>
      </c>
      <c r="AV22" s="17">
        <v>0.65347547719127397</v>
      </c>
      <c r="AW22" s="17">
        <v>0.36749356540172401</v>
      </c>
      <c r="AX22" s="17">
        <v>0.28598191178954901</v>
      </c>
      <c r="AY22" s="17">
        <f t="shared" si="1"/>
        <v>2.3772288317448247E-2</v>
      </c>
    </row>
    <row r="23" spans="1:51" ht="15.6" x14ac:dyDescent="0.3">
      <c r="A23" s="14" t="s">
        <v>70</v>
      </c>
      <c r="B23" s="15"/>
      <c r="C23" s="15">
        <v>5396887</v>
      </c>
      <c r="D23" s="15">
        <v>36647224</v>
      </c>
      <c r="E23" s="15"/>
      <c r="F23" s="15"/>
      <c r="G23" s="15"/>
      <c r="H23" s="15"/>
      <c r="I23" s="15"/>
      <c r="J23" s="15"/>
      <c r="K23" s="15"/>
      <c r="L23" s="15">
        <v>248604</v>
      </c>
      <c r="M23" s="15"/>
      <c r="N23" s="15">
        <v>3906348</v>
      </c>
      <c r="O23" s="15"/>
      <c r="P23" s="15">
        <v>3110022</v>
      </c>
      <c r="Q23" s="15"/>
      <c r="R23" s="15">
        <v>3591591</v>
      </c>
      <c r="S23" s="15"/>
      <c r="T23" s="15"/>
      <c r="U23" s="15"/>
      <c r="V23" s="15"/>
      <c r="W23" s="15"/>
      <c r="X23" s="15"/>
      <c r="Y23" s="15">
        <v>52900676</v>
      </c>
      <c r="Z23" s="15">
        <v>38351667</v>
      </c>
      <c r="AA23" s="15">
        <v>14549009</v>
      </c>
      <c r="AB23" s="15">
        <v>29561660</v>
      </c>
      <c r="AC23" s="15">
        <v>23378698</v>
      </c>
      <c r="AD23" s="18">
        <v>8790007</v>
      </c>
      <c r="AE23" s="15">
        <v>38351667</v>
      </c>
      <c r="AF23" s="15">
        <v>20730770</v>
      </c>
      <c r="AG23" s="15">
        <v>5799578</v>
      </c>
      <c r="AH23" s="15">
        <v>-198378</v>
      </c>
      <c r="AI23" s="15">
        <v>-23378698</v>
      </c>
      <c r="AJ23" s="15">
        <v>2096824</v>
      </c>
      <c r="AK23" s="15">
        <v>7282511</v>
      </c>
      <c r="AL23" s="15">
        <v>0</v>
      </c>
      <c r="AM23" s="15">
        <v>30879765</v>
      </c>
      <c r="AN23" s="15">
        <v>56907149</v>
      </c>
      <c r="AO23" s="15">
        <v>5942059</v>
      </c>
      <c r="AP23" s="15">
        <v>32807386</v>
      </c>
      <c r="AQ23" s="15">
        <v>135087431</v>
      </c>
      <c r="AR23" s="16">
        <v>62310140</v>
      </c>
      <c r="AS23" s="16">
        <v>0</v>
      </c>
      <c r="AT23" s="17">
        <v>0.391881003562222</v>
      </c>
      <c r="AU23" s="17">
        <v>0.44195841656163298</v>
      </c>
      <c r="AV23" s="17">
        <v>0.60809629351428296</v>
      </c>
      <c r="AW23" s="17">
        <v>0.16616057987614299</v>
      </c>
      <c r="AX23" s="17">
        <v>0.44193571363813899</v>
      </c>
      <c r="AY23" s="17">
        <f t="shared" si="1"/>
        <v>2.7233998272018816E-2</v>
      </c>
    </row>
    <row r="24" spans="1:51" ht="15.6" x14ac:dyDescent="0.3">
      <c r="A24" s="14" t="s">
        <v>71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6"/>
      <c r="AS24" s="16"/>
      <c r="AT24" s="17"/>
      <c r="AU24" s="17"/>
      <c r="AV24" s="17"/>
      <c r="AW24" s="17"/>
      <c r="AX24" s="17"/>
      <c r="AY24" s="17"/>
    </row>
    <row r="25" spans="1:51" ht="15.6" x14ac:dyDescent="0.3">
      <c r="A25" s="14" t="s">
        <v>72</v>
      </c>
      <c r="B25" s="15"/>
      <c r="C25" s="15">
        <v>16041031</v>
      </c>
      <c r="D25" s="15">
        <v>11889299</v>
      </c>
      <c r="E25" s="15">
        <v>0</v>
      </c>
      <c r="F25" s="15">
        <v>0</v>
      </c>
      <c r="G25" s="15">
        <v>0</v>
      </c>
      <c r="H25" s="15">
        <v>2965528</v>
      </c>
      <c r="I25" s="15">
        <v>6363910</v>
      </c>
      <c r="J25" s="15">
        <v>0</v>
      </c>
      <c r="K25" s="15">
        <v>0</v>
      </c>
      <c r="L25" s="15">
        <v>0</v>
      </c>
      <c r="M25" s="15">
        <v>0</v>
      </c>
      <c r="N25" s="15">
        <v>867928</v>
      </c>
      <c r="O25" s="15">
        <v>0</v>
      </c>
      <c r="P25" s="15">
        <v>7331426</v>
      </c>
      <c r="Q25" s="15">
        <v>6635569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52094691</v>
      </c>
      <c r="Z25" s="15">
        <v>34643128</v>
      </c>
      <c r="AA25" s="15">
        <v>17451563</v>
      </c>
      <c r="AB25" s="15">
        <v>28690240</v>
      </c>
      <c r="AC25" s="15">
        <v>12802675</v>
      </c>
      <c r="AD25" s="18">
        <v>5952888</v>
      </c>
      <c r="AE25" s="15">
        <v>34643128</v>
      </c>
      <c r="AF25" s="15">
        <v>13593715</v>
      </c>
      <c r="AG25" s="15">
        <v>9306843</v>
      </c>
      <c r="AH25" s="15">
        <v>0</v>
      </c>
      <c r="AI25" s="15">
        <v>-12802675</v>
      </c>
      <c r="AJ25" s="15">
        <v>7068517</v>
      </c>
      <c r="AK25" s="15">
        <v>37008972</v>
      </c>
      <c r="AL25" s="15">
        <v>3278254</v>
      </c>
      <c r="AM25" s="15">
        <v>54145606</v>
      </c>
      <c r="AN25" s="15">
        <v>77913269</v>
      </c>
      <c r="AO25" s="15">
        <v>3679968</v>
      </c>
      <c r="AP25" s="15">
        <v>3304640</v>
      </c>
      <c r="AQ25" s="15">
        <v>179443839</v>
      </c>
      <c r="AR25" s="16">
        <v>74309205</v>
      </c>
      <c r="AS25" s="16">
        <v>4619141</v>
      </c>
      <c r="AT25" s="17">
        <v>0.81028163688905597</v>
      </c>
      <c r="AU25" s="17">
        <v>-0.165115899109297</v>
      </c>
      <c r="AV25" s="17">
        <v>1.1179643157456001</v>
      </c>
      <c r="AW25" s="17">
        <v>0.35483426222024</v>
      </c>
      <c r="AX25" s="17">
        <v>0.763130053525368</v>
      </c>
      <c r="AY25" s="17">
        <f t="shared" si="1"/>
        <v>2.6819066067801368E-2</v>
      </c>
    </row>
    <row r="26" spans="1:51" ht="15.6" x14ac:dyDescent="0.3">
      <c r="A26" s="14" t="s">
        <v>73</v>
      </c>
      <c r="B26" s="15">
        <v>1185338</v>
      </c>
      <c r="C26" s="15">
        <v>12009801</v>
      </c>
      <c r="D26" s="15">
        <v>10591835</v>
      </c>
      <c r="E26" s="15">
        <v>13988430</v>
      </c>
      <c r="F26" s="15">
        <v>380700</v>
      </c>
      <c r="G26" s="15">
        <v>1529906</v>
      </c>
      <c r="H26" s="15">
        <v>677756</v>
      </c>
      <c r="I26" s="15">
        <v>1558130</v>
      </c>
      <c r="J26" s="15">
        <v>1575353</v>
      </c>
      <c r="K26" s="15">
        <v>393304</v>
      </c>
      <c r="L26" s="15">
        <v>59171</v>
      </c>
      <c r="M26" s="15">
        <v>1219689</v>
      </c>
      <c r="N26" s="15">
        <v>342028</v>
      </c>
      <c r="O26" s="15">
        <v>48743</v>
      </c>
      <c r="P26" s="15">
        <v>265401</v>
      </c>
      <c r="Q26" s="15">
        <v>134322</v>
      </c>
      <c r="R26" s="15">
        <v>1165468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47125375</v>
      </c>
      <c r="Z26" s="15">
        <v>9158279</v>
      </c>
      <c r="AA26" s="15">
        <v>37967096</v>
      </c>
      <c r="AB26" s="15">
        <v>6872817</v>
      </c>
      <c r="AC26" s="15">
        <v>23978443</v>
      </c>
      <c r="AD26" s="18">
        <v>2285462</v>
      </c>
      <c r="AE26" s="15">
        <v>9158279</v>
      </c>
      <c r="AF26" s="15">
        <v>24753281</v>
      </c>
      <c r="AG26" s="15">
        <v>3393921</v>
      </c>
      <c r="AH26" s="15">
        <v>0</v>
      </c>
      <c r="AI26" s="15">
        <v>-23978443</v>
      </c>
      <c r="AJ26" s="15">
        <v>2918131</v>
      </c>
      <c r="AK26" s="15">
        <v>4082851</v>
      </c>
      <c r="AL26" s="15">
        <v>0</v>
      </c>
      <c r="AM26" s="15">
        <v>38676712</v>
      </c>
      <c r="AN26" s="15">
        <v>63147481</v>
      </c>
      <c r="AO26" s="15">
        <v>28961708</v>
      </c>
      <c r="AP26" s="15">
        <v>3426122</v>
      </c>
      <c r="AQ26" s="15">
        <v>138294874</v>
      </c>
      <c r="AR26" s="16">
        <v>47563931</v>
      </c>
      <c r="AS26" s="16">
        <v>0</v>
      </c>
      <c r="AT26" s="17">
        <v>0.74795402012941303</v>
      </c>
      <c r="AU26" s="17">
        <v>0.182987640058866</v>
      </c>
      <c r="AV26" s="17">
        <v>0.79359957692262995</v>
      </c>
      <c r="AW26" s="17">
        <v>6.9058339811720604E-2</v>
      </c>
      <c r="AX26" s="17">
        <v>0.72454123711091001</v>
      </c>
      <c r="AY26" s="17">
        <f t="shared" si="1"/>
        <v>2.426079359209396E-2</v>
      </c>
    </row>
    <row r="27" spans="1:51" ht="15.6" x14ac:dyDescent="0.3">
      <c r="A27" s="14" t="s">
        <v>74</v>
      </c>
      <c r="B27" s="15">
        <v>1290983</v>
      </c>
      <c r="C27" s="15">
        <v>62965308</v>
      </c>
      <c r="D27" s="15">
        <v>45347730</v>
      </c>
      <c r="E27" s="15">
        <v>18107231</v>
      </c>
      <c r="F27" s="15">
        <v>283572</v>
      </c>
      <c r="G27" s="15">
        <v>0</v>
      </c>
      <c r="H27" s="15">
        <v>4021929</v>
      </c>
      <c r="I27" s="15">
        <v>563229</v>
      </c>
      <c r="J27" s="15">
        <v>481642</v>
      </c>
      <c r="K27" s="15">
        <v>1481795</v>
      </c>
      <c r="L27" s="15">
        <v>2359699</v>
      </c>
      <c r="M27" s="15">
        <v>6599622</v>
      </c>
      <c r="N27" s="15">
        <v>1520628</v>
      </c>
      <c r="O27" s="15">
        <v>3037286</v>
      </c>
      <c r="P27" s="15">
        <v>26951319</v>
      </c>
      <c r="Q27" s="15">
        <v>576465</v>
      </c>
      <c r="R27" s="15">
        <v>2430721</v>
      </c>
      <c r="S27" s="15">
        <v>8723773</v>
      </c>
      <c r="T27" s="15"/>
      <c r="U27" s="15"/>
      <c r="V27" s="15"/>
      <c r="W27" s="15"/>
      <c r="X27" s="15"/>
      <c r="Y27" s="15">
        <v>186742932</v>
      </c>
      <c r="Z27" s="15">
        <v>41218156</v>
      </c>
      <c r="AA27" s="15">
        <v>145524776</v>
      </c>
      <c r="AB27" s="15">
        <v>17732027</v>
      </c>
      <c r="AC27" s="15">
        <v>82534069</v>
      </c>
      <c r="AD27" s="15">
        <v>23486129</v>
      </c>
      <c r="AE27" s="15">
        <v>41218156</v>
      </c>
      <c r="AF27" s="15">
        <v>80538884</v>
      </c>
      <c r="AG27" s="15">
        <v>6148453</v>
      </c>
      <c r="AH27" s="15">
        <v>0</v>
      </c>
      <c r="AI27" s="15">
        <v>-84185918</v>
      </c>
      <c r="AJ27" s="15">
        <v>1750994</v>
      </c>
      <c r="AK27" s="15">
        <v>102392320</v>
      </c>
      <c r="AL27" s="15">
        <v>0</v>
      </c>
      <c r="AM27" s="15">
        <v>22365602</v>
      </c>
      <c r="AN27" s="15">
        <v>589820077</v>
      </c>
      <c r="AO27" s="15">
        <v>18114190</v>
      </c>
      <c r="AP27" s="15">
        <v>151111687</v>
      </c>
      <c r="AQ27" s="15">
        <v>883823481</v>
      </c>
      <c r="AR27" s="16">
        <v>159217818</v>
      </c>
      <c r="AS27" s="16">
        <v>0</v>
      </c>
      <c r="AT27" s="17">
        <v>0.69416280117033302</v>
      </c>
      <c r="AU27" s="17">
        <v>0.10341078955277901</v>
      </c>
      <c r="AV27" s="17">
        <v>0.91378566437937403</v>
      </c>
      <c r="AW27" s="17">
        <v>0.20242640927688699</v>
      </c>
      <c r="AX27" s="17">
        <v>0.71135925510248599</v>
      </c>
      <c r="AY27" s="17">
        <f t="shared" si="1"/>
        <v>9.6137839285829294E-2</v>
      </c>
    </row>
    <row r="28" spans="1:51" ht="15.6" x14ac:dyDescent="0.3">
      <c r="A28" s="14" t="s">
        <v>75</v>
      </c>
      <c r="B28" s="15">
        <v>704486</v>
      </c>
      <c r="C28" s="15">
        <v>80492598</v>
      </c>
      <c r="D28" s="15">
        <v>46939330</v>
      </c>
      <c r="E28" s="15">
        <v>18021124</v>
      </c>
      <c r="F28" s="15">
        <v>149483</v>
      </c>
      <c r="G28" s="15">
        <v>0</v>
      </c>
      <c r="H28" s="15">
        <v>7310072</v>
      </c>
      <c r="I28" s="15">
        <v>1059984</v>
      </c>
      <c r="J28" s="15">
        <v>2546639</v>
      </c>
      <c r="K28" s="15">
        <v>3287206</v>
      </c>
      <c r="L28" s="15">
        <v>4786339</v>
      </c>
      <c r="M28" s="15">
        <v>4062891</v>
      </c>
      <c r="N28" s="15">
        <v>28569492</v>
      </c>
      <c r="O28" s="15">
        <v>8376175</v>
      </c>
      <c r="P28" s="15">
        <v>9077107</v>
      </c>
      <c r="Q28" s="15">
        <v>1950175</v>
      </c>
      <c r="R28" s="15">
        <v>230143</v>
      </c>
      <c r="S28" s="15">
        <v>1026183</v>
      </c>
      <c r="T28" s="15"/>
      <c r="U28" s="15"/>
      <c r="V28" s="15"/>
      <c r="W28" s="15"/>
      <c r="X28" s="15"/>
      <c r="Y28" s="15">
        <v>218589427</v>
      </c>
      <c r="Z28" s="15">
        <v>53670076</v>
      </c>
      <c r="AA28" s="15">
        <v>164919351</v>
      </c>
      <c r="AB28" s="15">
        <v>53670076</v>
      </c>
      <c r="AC28" s="15">
        <v>42504492</v>
      </c>
      <c r="AD28" s="18">
        <v>0</v>
      </c>
      <c r="AE28" s="15">
        <v>53670076</v>
      </c>
      <c r="AF28" s="15">
        <v>137059369</v>
      </c>
      <c r="AG28" s="15">
        <v>0</v>
      </c>
      <c r="AH28" s="15">
        <v>0</v>
      </c>
      <c r="AI28" s="15">
        <v>-42504492</v>
      </c>
      <c r="AJ28" s="15">
        <v>94554877</v>
      </c>
      <c r="AK28" s="15">
        <v>47726808</v>
      </c>
      <c r="AL28" s="15">
        <v>7674092</v>
      </c>
      <c r="AM28" s="15">
        <v>6138837</v>
      </c>
      <c r="AN28" s="15">
        <v>833497270</v>
      </c>
      <c r="AO28" s="15">
        <v>53179563</v>
      </c>
      <c r="AP28" s="15">
        <v>3280281</v>
      </c>
      <c r="AQ28" s="15">
        <v>951855791</v>
      </c>
      <c r="AR28" s="16">
        <v>152681282</v>
      </c>
      <c r="AS28" s="16">
        <v>73331764</v>
      </c>
      <c r="AT28" s="17">
        <v>0.718606238276423</v>
      </c>
      <c r="AU28" s="17">
        <v>0.281393761723576</v>
      </c>
      <c r="AV28" s="17">
        <v>0.22285228167050899</v>
      </c>
      <c r="AW28" s="17">
        <v>0</v>
      </c>
      <c r="AX28" s="17">
        <v>0.22285228167050899</v>
      </c>
      <c r="AY28" s="17">
        <f t="shared" si="1"/>
        <v>0.11253285453667139</v>
      </c>
    </row>
    <row r="29" spans="1:51" ht="15.6" x14ac:dyDescent="0.3">
      <c r="A29" s="14" t="s">
        <v>76</v>
      </c>
      <c r="B29" s="15">
        <v>9714476</v>
      </c>
      <c r="C29" s="15"/>
      <c r="D29" s="15">
        <v>37698591</v>
      </c>
      <c r="E29" s="15"/>
      <c r="F29" s="15"/>
      <c r="G29" s="15"/>
      <c r="H29" s="15">
        <v>4235208</v>
      </c>
      <c r="I29" s="15"/>
      <c r="J29" s="15"/>
      <c r="K29" s="15"/>
      <c r="L29" s="15"/>
      <c r="M29" s="15"/>
      <c r="N29" s="15">
        <v>2959435</v>
      </c>
      <c r="O29" s="15"/>
      <c r="P29" s="15">
        <v>1424919</v>
      </c>
      <c r="Q29" s="15">
        <v>434403</v>
      </c>
      <c r="R29" s="15"/>
      <c r="S29" s="15"/>
      <c r="T29" s="15"/>
      <c r="U29" s="15"/>
      <c r="V29" s="15"/>
      <c r="W29" s="15"/>
      <c r="X29" s="15"/>
      <c r="Y29" s="15">
        <v>56467032</v>
      </c>
      <c r="Z29" s="15">
        <v>36604663</v>
      </c>
      <c r="AA29" s="15">
        <v>19862369</v>
      </c>
      <c r="AB29" s="15">
        <v>8470450</v>
      </c>
      <c r="AC29" s="15">
        <v>5335175</v>
      </c>
      <c r="AD29" s="15">
        <v>28134212.999999899</v>
      </c>
      <c r="AE29" s="15">
        <v>36604663</v>
      </c>
      <c r="AF29" s="15">
        <v>12271542</v>
      </c>
      <c r="AG29" s="15">
        <v>11150794</v>
      </c>
      <c r="AH29" s="15">
        <v>0</v>
      </c>
      <c r="AI29" s="15">
        <v>-4978665</v>
      </c>
      <c r="AJ29" s="15">
        <v>12437415</v>
      </c>
      <c r="AK29" s="15">
        <v>8393754</v>
      </c>
      <c r="AL29" s="15">
        <v>0</v>
      </c>
      <c r="AM29" s="15">
        <v>27799229</v>
      </c>
      <c r="AN29" s="15">
        <v>123706835</v>
      </c>
      <c r="AO29" s="15">
        <v>11314717</v>
      </c>
      <c r="AP29" s="15">
        <v>14882989</v>
      </c>
      <c r="AQ29" s="15">
        <v>186097524</v>
      </c>
      <c r="AR29" s="16">
        <v>81696318</v>
      </c>
      <c r="AS29" s="16">
        <v>0</v>
      </c>
      <c r="AT29" s="17">
        <v>0.25997148723243801</v>
      </c>
      <c r="AU29" s="17">
        <v>0.14400780113049</v>
      </c>
      <c r="AV29" s="17">
        <v>0.70904590271699597</v>
      </c>
      <c r="AW29" s="17">
        <v>0.59602071163707104</v>
      </c>
      <c r="AX29" s="17">
        <v>0.11302519107992499</v>
      </c>
      <c r="AY29" s="17">
        <f t="shared" si="1"/>
        <v>2.9070007572569227E-2</v>
      </c>
    </row>
    <row r="30" spans="1:51" ht="15.6" x14ac:dyDescent="0.3">
      <c r="A30" s="14" t="s">
        <v>77</v>
      </c>
      <c r="B30" s="15">
        <v>338712</v>
      </c>
      <c r="C30" s="15">
        <v>2303387</v>
      </c>
      <c r="D30" s="15">
        <v>19124861</v>
      </c>
      <c r="E30" s="15">
        <v>2066689</v>
      </c>
      <c r="F30" s="15">
        <v>3700</v>
      </c>
      <c r="G30" s="15">
        <v>4234413</v>
      </c>
      <c r="H30" s="15">
        <v>870013</v>
      </c>
      <c r="I30" s="15">
        <v>0</v>
      </c>
      <c r="J30" s="15">
        <v>747861</v>
      </c>
      <c r="K30" s="15">
        <v>43567</v>
      </c>
      <c r="L30" s="15">
        <v>252360</v>
      </c>
      <c r="M30" s="15">
        <v>0</v>
      </c>
      <c r="N30" s="15">
        <v>133097</v>
      </c>
      <c r="O30" s="15">
        <v>0</v>
      </c>
      <c r="P30" s="15">
        <v>395139</v>
      </c>
      <c r="Q30" s="15">
        <v>375414</v>
      </c>
      <c r="R30" s="15">
        <v>65011</v>
      </c>
      <c r="S30" s="15"/>
      <c r="T30" s="15"/>
      <c r="U30" s="15"/>
      <c r="V30" s="15"/>
      <c r="W30" s="15"/>
      <c r="X30" s="15"/>
      <c r="Y30" s="15">
        <v>30954224</v>
      </c>
      <c r="Z30" s="15">
        <v>18384300</v>
      </c>
      <c r="AA30" s="15">
        <v>12569924</v>
      </c>
      <c r="AB30" s="15">
        <v>7410800</v>
      </c>
      <c r="AC30" s="15">
        <v>4898507</v>
      </c>
      <c r="AD30" s="18">
        <v>10973500</v>
      </c>
      <c r="AE30" s="15">
        <v>18384300</v>
      </c>
      <c r="AF30" s="15">
        <v>14620509</v>
      </c>
      <c r="AG30" s="15">
        <v>8283336</v>
      </c>
      <c r="AH30" s="15">
        <v>-5175647</v>
      </c>
      <c r="AI30" s="15">
        <v>-4533314</v>
      </c>
      <c r="AJ30" s="15">
        <v>9236420</v>
      </c>
      <c r="AK30" s="15">
        <v>5500734</v>
      </c>
      <c r="AL30" s="15">
        <v>662811</v>
      </c>
      <c r="AM30" s="15">
        <v>18566417</v>
      </c>
      <c r="AN30" s="15">
        <v>78027983</v>
      </c>
      <c r="AO30" s="15">
        <v>19803664</v>
      </c>
      <c r="AP30" s="15">
        <v>5908544</v>
      </c>
      <c r="AQ30" s="15">
        <v>128829730</v>
      </c>
      <c r="AR30" s="16">
        <v>28181654</v>
      </c>
      <c r="AS30" s="16">
        <v>0</v>
      </c>
      <c r="AT30" s="17">
        <v>0.48536903975867302</v>
      </c>
      <c r="AU30" s="17">
        <v>0.15033467221251701</v>
      </c>
      <c r="AV30" s="17">
        <v>0.52691604626302202</v>
      </c>
      <c r="AW30" s="17">
        <v>0.36429628802880898</v>
      </c>
      <c r="AX30" s="17">
        <v>0.16261975823421301</v>
      </c>
      <c r="AY30" s="17">
        <f t="shared" si="1"/>
        <v>1.5935661822689816E-2</v>
      </c>
    </row>
    <row r="31" spans="1:51" ht="15.6" x14ac:dyDescent="0.3">
      <c r="A31" s="14" t="s">
        <v>78</v>
      </c>
      <c r="B31" s="15">
        <v>3046517</v>
      </c>
      <c r="C31" s="15">
        <v>20902429</v>
      </c>
      <c r="D31" s="15">
        <v>94781870</v>
      </c>
      <c r="E31" s="15">
        <v>20700826</v>
      </c>
      <c r="F31" s="15">
        <v>256758</v>
      </c>
      <c r="G31" s="15">
        <v>0</v>
      </c>
      <c r="H31" s="15">
        <v>3121162</v>
      </c>
      <c r="I31" s="15">
        <v>539182</v>
      </c>
      <c r="J31" s="15">
        <v>2121993</v>
      </c>
      <c r="K31" s="15">
        <v>1934030</v>
      </c>
      <c r="L31" s="15">
        <v>24591</v>
      </c>
      <c r="M31" s="15">
        <v>12408103</v>
      </c>
      <c r="N31" s="15">
        <v>1242029</v>
      </c>
      <c r="O31" s="15">
        <v>8521563</v>
      </c>
      <c r="P31" s="15">
        <v>4380939</v>
      </c>
      <c r="Q31" s="15">
        <v>1880375</v>
      </c>
      <c r="R31" s="15">
        <v>28263</v>
      </c>
      <c r="S31" s="15">
        <v>0</v>
      </c>
      <c r="T31" s="15">
        <v>0</v>
      </c>
      <c r="U31" s="15">
        <v>0</v>
      </c>
      <c r="V31" s="15">
        <v>0</v>
      </c>
      <c r="W31" s="15">
        <v>7572</v>
      </c>
      <c r="X31" s="15">
        <v>0</v>
      </c>
      <c r="Y31" s="15">
        <v>175898202</v>
      </c>
      <c r="Z31" s="15">
        <v>76364946</v>
      </c>
      <c r="AA31" s="15">
        <v>99533256</v>
      </c>
      <c r="AB31" s="15">
        <v>45705172</v>
      </c>
      <c r="AC31" s="15">
        <v>42294238</v>
      </c>
      <c r="AD31" s="15">
        <v>30659774</v>
      </c>
      <c r="AE31" s="15">
        <v>76364946</v>
      </c>
      <c r="AF31" s="15">
        <v>77552952</v>
      </c>
      <c r="AG31" s="15">
        <v>2543188</v>
      </c>
      <c r="AH31" s="15">
        <v>0</v>
      </c>
      <c r="AI31" s="15">
        <v>-42210437</v>
      </c>
      <c r="AJ31" s="15">
        <v>35785703</v>
      </c>
      <c r="AK31" s="15">
        <v>68958337</v>
      </c>
      <c r="AL31" s="15">
        <v>0</v>
      </c>
      <c r="AM31" s="15">
        <v>32421885</v>
      </c>
      <c r="AN31" s="15">
        <v>163627619</v>
      </c>
      <c r="AO31" s="15">
        <v>85088897</v>
      </c>
      <c r="AP31" s="15">
        <v>12411428</v>
      </c>
      <c r="AQ31" s="15">
        <v>362508166</v>
      </c>
      <c r="AR31" s="16">
        <v>105720015</v>
      </c>
      <c r="AS31" s="16">
        <v>0</v>
      </c>
      <c r="AT31" s="17">
        <v>0.54761602408531895</v>
      </c>
      <c r="AU31" s="17">
        <v>0.23588952787310999</v>
      </c>
      <c r="AV31" s="17">
        <v>0.51514204117610696</v>
      </c>
      <c r="AW31" s="17">
        <v>0.21649444804157</v>
      </c>
      <c r="AX31" s="17">
        <v>0.29864759313453598</v>
      </c>
      <c r="AY31" s="17">
        <f t="shared" si="1"/>
        <v>9.0554822575787439E-2</v>
      </c>
    </row>
    <row r="32" spans="1:51" ht="15.6" x14ac:dyDescent="0.3">
      <c r="A32" s="19" t="s">
        <v>79</v>
      </c>
      <c r="B32" s="25">
        <f t="shared" ref="B32:AQ32" si="2">SUM(B6:B31)</f>
        <v>26457568.73</v>
      </c>
      <c r="C32" s="25">
        <f t="shared" si="2"/>
        <v>543378453.38</v>
      </c>
      <c r="D32" s="25">
        <f t="shared" si="2"/>
        <v>655584075.75</v>
      </c>
      <c r="E32" s="25">
        <f t="shared" si="2"/>
        <v>154125631.19</v>
      </c>
      <c r="F32" s="25">
        <f t="shared" si="2"/>
        <v>3223513.49</v>
      </c>
      <c r="G32" s="25">
        <f t="shared" si="2"/>
        <v>6632731</v>
      </c>
      <c r="H32" s="25">
        <f t="shared" si="2"/>
        <v>52756269.120000005</v>
      </c>
      <c r="I32" s="25">
        <f t="shared" si="2"/>
        <v>17707846</v>
      </c>
      <c r="J32" s="25">
        <f t="shared" si="2"/>
        <v>9349111.3900000006</v>
      </c>
      <c r="K32" s="25">
        <f t="shared" si="2"/>
        <v>19251197.189999998</v>
      </c>
      <c r="L32" s="25">
        <f t="shared" si="2"/>
        <v>16313266</v>
      </c>
      <c r="M32" s="25">
        <f t="shared" si="2"/>
        <v>81478672.310000002</v>
      </c>
      <c r="N32" s="25">
        <f t="shared" si="2"/>
        <v>116119411.94</v>
      </c>
      <c r="O32" s="25">
        <f t="shared" si="2"/>
        <v>29195914.350000001</v>
      </c>
      <c r="P32" s="25">
        <f t="shared" si="2"/>
        <v>122877172.66</v>
      </c>
      <c r="Q32" s="25">
        <f t="shared" si="2"/>
        <v>53267659.990000002</v>
      </c>
      <c r="R32" s="25">
        <f t="shared" si="2"/>
        <v>23870822.109999999</v>
      </c>
      <c r="S32" s="25">
        <f t="shared" si="2"/>
        <v>10751818.59</v>
      </c>
      <c r="T32" s="25">
        <f t="shared" si="2"/>
        <v>0</v>
      </c>
      <c r="U32" s="25">
        <f t="shared" si="2"/>
        <v>101148</v>
      </c>
      <c r="V32" s="25">
        <f t="shared" si="2"/>
        <v>0</v>
      </c>
      <c r="W32" s="25">
        <f t="shared" si="2"/>
        <v>7572</v>
      </c>
      <c r="X32" s="25">
        <f t="shared" si="2"/>
        <v>0</v>
      </c>
      <c r="Y32" s="25">
        <f t="shared" si="2"/>
        <v>1942449855.2</v>
      </c>
      <c r="Z32" s="25">
        <f t="shared" si="2"/>
        <v>1218551744.4000001</v>
      </c>
      <c r="AA32" s="25">
        <f t="shared" si="2"/>
        <v>723898110.84000003</v>
      </c>
      <c r="AB32" s="25">
        <f t="shared" si="2"/>
        <v>913264816.95000005</v>
      </c>
      <c r="AC32" s="25">
        <f t="shared" si="2"/>
        <v>420575446.07999998</v>
      </c>
      <c r="AD32" s="25">
        <f t="shared" si="2"/>
        <v>305286927.41999996</v>
      </c>
      <c r="AE32" s="25">
        <f t="shared" si="2"/>
        <v>1218551744.3699999</v>
      </c>
      <c r="AF32" s="25">
        <f t="shared" si="2"/>
        <v>639459228.49000001</v>
      </c>
      <c r="AG32" s="25">
        <f t="shared" si="2"/>
        <v>141322385.037</v>
      </c>
      <c r="AH32" s="25">
        <f t="shared" si="2"/>
        <v>-4677505.47</v>
      </c>
      <c r="AI32" s="25">
        <f t="shared" si="2"/>
        <v>-402202619.94999999</v>
      </c>
      <c r="AJ32" s="25">
        <f t="shared" si="2"/>
        <v>312688115.11000001</v>
      </c>
      <c r="AK32" s="25">
        <f t="shared" si="2"/>
        <v>672698979.63999999</v>
      </c>
      <c r="AL32" s="25">
        <f t="shared" si="2"/>
        <v>15843441</v>
      </c>
      <c r="AM32" s="25">
        <f t="shared" si="2"/>
        <v>931608769.14999998</v>
      </c>
      <c r="AN32" s="25">
        <f t="shared" si="2"/>
        <v>3420366887.7799997</v>
      </c>
      <c r="AO32" s="25">
        <f t="shared" si="2"/>
        <v>474496240.02999997</v>
      </c>
      <c r="AP32" s="25">
        <f t="shared" si="2"/>
        <v>502506566.67000002</v>
      </c>
      <c r="AQ32" s="25">
        <f t="shared" si="2"/>
        <v>6029496483.8000002</v>
      </c>
      <c r="AR32" s="26">
        <f>SUM(AR6:AR31)</f>
        <v>2072948358.0999999</v>
      </c>
      <c r="AS32" s="26">
        <f>SUM(AS6:AS31)</f>
        <v>133145312</v>
      </c>
      <c r="AT32" s="27">
        <f>AVERAGE(AT6:AT31)</f>
        <v>0.47815785762484575</v>
      </c>
      <c r="AU32" s="27">
        <f t="shared" ref="AU32:AV32" si="3">AVERAGE(AU6:AU31)</f>
        <v>0.27591401565284029</v>
      </c>
      <c r="AV32" s="27">
        <f t="shared" si="3"/>
        <v>0.6470507047522589</v>
      </c>
      <c r="AW32" s="27">
        <f>AVERAGE(AW6:AW31)</f>
        <v>0.27181529798176074</v>
      </c>
      <c r="AX32" s="27">
        <f t="shared" ref="AX32" si="4">AVERAGE(AX6:AX31)</f>
        <v>0.40112257800685663</v>
      </c>
      <c r="AY32" s="27">
        <f>SUM(AY6:AY31)</f>
        <v>0.99999999999999989</v>
      </c>
    </row>
  </sheetData>
  <mergeCells count="1">
    <mergeCell ref="Z1:AY1"/>
  </mergeCells>
  <dataValidations count="1">
    <dataValidation type="list" allowBlank="1" showInputMessage="1" showErrorMessage="1" sqref="A3:Y3" xr:uid="{BCE5295B-B067-4671-88F8-F531577F6B37}">
      <formula1>$A$6:$A$31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E5D3-70AA-4DB5-B5BB-661B32B205E8}">
  <dimension ref="A1:BC31"/>
  <sheetViews>
    <sheetView topLeftCell="A5" zoomScaleNormal="100" workbookViewId="0">
      <pane ySplit="1" topLeftCell="A6" activePane="bottomLeft" state="frozen"/>
      <selection activeCell="AB38" sqref="AB38"/>
      <selection pane="bottomLeft" activeCell="AB38" sqref="AB38"/>
    </sheetView>
  </sheetViews>
  <sheetFormatPr defaultRowHeight="13.2" x14ac:dyDescent="0.25"/>
  <cols>
    <col min="1" max="1" width="50.77734375" bestFit="1" customWidth="1"/>
    <col min="2" max="2" width="33.44140625" bestFit="1" customWidth="1"/>
    <col min="3" max="3" width="37.21875" bestFit="1" customWidth="1"/>
    <col min="4" max="4" width="21.77734375" bestFit="1" customWidth="1"/>
    <col min="5" max="5" width="17.77734375" bestFit="1" customWidth="1"/>
    <col min="6" max="6" width="30.21875" bestFit="1" customWidth="1"/>
    <col min="7" max="7" width="15.77734375" bestFit="1" customWidth="1"/>
    <col min="8" max="8" width="23.77734375" bestFit="1" customWidth="1"/>
    <col min="9" max="9" width="31.44140625" bestFit="1" customWidth="1"/>
    <col min="10" max="11" width="50.77734375" customWidth="1"/>
    <col min="12" max="12" width="18" bestFit="1" customWidth="1"/>
    <col min="13" max="13" width="16.21875" bestFit="1" customWidth="1"/>
    <col min="14" max="14" width="15.21875" bestFit="1" customWidth="1"/>
    <col min="15" max="15" width="19.44140625" bestFit="1" customWidth="1"/>
    <col min="16" max="16" width="15.21875" bestFit="1" customWidth="1"/>
    <col min="17" max="18" width="14.44140625" bestFit="1" customWidth="1"/>
    <col min="19" max="19" width="13.21875" bestFit="1" customWidth="1"/>
    <col min="20" max="20" width="25.44140625" bestFit="1" customWidth="1"/>
    <col min="21" max="21" width="21.77734375" bestFit="1" customWidth="1"/>
    <col min="22" max="22" width="25" bestFit="1" customWidth="1"/>
    <col min="23" max="23" width="13" bestFit="1" customWidth="1"/>
    <col min="24" max="24" width="23" bestFit="1" customWidth="1"/>
    <col min="25" max="25" width="27" bestFit="1" customWidth="1"/>
    <col min="26" max="27" width="20" bestFit="1" customWidth="1"/>
    <col min="28" max="28" width="17.77734375" customWidth="1"/>
    <col min="29" max="29" width="17.77734375" bestFit="1" customWidth="1"/>
    <col min="30" max="31" width="17.77734375" customWidth="1"/>
    <col min="32" max="32" width="16.21875" bestFit="1" customWidth="1"/>
    <col min="33" max="33" width="17.77734375" bestFit="1" customWidth="1"/>
    <col min="34" max="34" width="17" customWidth="1"/>
    <col min="35" max="37" width="17.77734375" bestFit="1" customWidth="1"/>
    <col min="38" max="39" width="20" bestFit="1" customWidth="1"/>
    <col min="40" max="40" width="17.77734375" customWidth="1"/>
    <col min="41" max="42" width="12.21875" bestFit="1" customWidth="1"/>
    <col min="43" max="43" width="17.77734375" bestFit="1" customWidth="1"/>
    <col min="44" max="44" width="18.21875" customWidth="1"/>
    <col min="45" max="45" width="18.77734375" bestFit="1" customWidth="1"/>
    <col min="46" max="46" width="18.77734375" customWidth="1"/>
    <col min="47" max="50" width="13" customWidth="1"/>
    <col min="51" max="51" width="9.21875" bestFit="1" customWidth="1"/>
  </cols>
  <sheetData>
    <row r="1" spans="1:51" ht="23.4" x14ac:dyDescent="0.45">
      <c r="A1" s="1" t="s">
        <v>81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53.4" x14ac:dyDescent="0.3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</row>
    <row r="3" spans="1:51" ht="15.6" x14ac:dyDescent="0.3">
      <c r="A3" s="7" t="s">
        <v>52</v>
      </c>
      <c r="B3" s="8">
        <f t="shared" ref="B3:AY3" si="0">INDEX(B6:B30,MATCH($A$3,$A$6:$A$30,0))</f>
        <v>810605</v>
      </c>
      <c r="C3" s="8">
        <f t="shared" si="0"/>
        <v>7014209</v>
      </c>
      <c r="D3" s="8">
        <f t="shared" si="0"/>
        <v>25473362</v>
      </c>
      <c r="E3" s="8">
        <f t="shared" si="0"/>
        <v>24417319</v>
      </c>
      <c r="F3" s="8">
        <f t="shared" si="0"/>
        <v>0</v>
      </c>
      <c r="G3" s="8">
        <f t="shared" si="0"/>
        <v>0</v>
      </c>
      <c r="H3" s="8">
        <f t="shared" si="0"/>
        <v>443248</v>
      </c>
      <c r="I3" s="8">
        <f t="shared" si="0"/>
        <v>95851</v>
      </c>
      <c r="J3" s="8">
        <f t="shared" si="0"/>
        <v>0</v>
      </c>
      <c r="K3" s="8">
        <f t="shared" si="0"/>
        <v>1411152</v>
      </c>
      <c r="L3" s="8">
        <f t="shared" si="0"/>
        <v>201662</v>
      </c>
      <c r="M3" s="8">
        <f t="shared" si="0"/>
        <v>956535</v>
      </c>
      <c r="N3" s="8">
        <f t="shared" si="0"/>
        <v>1426453</v>
      </c>
      <c r="O3" s="8">
        <f t="shared" si="0"/>
        <v>18657</v>
      </c>
      <c r="P3" s="8">
        <f t="shared" si="0"/>
        <v>2520439</v>
      </c>
      <c r="Q3" s="8">
        <f t="shared" si="0"/>
        <v>0</v>
      </c>
      <c r="R3" s="8">
        <f t="shared" si="0"/>
        <v>882337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65671829</v>
      </c>
      <c r="Z3" s="8">
        <f t="shared" si="0"/>
        <v>40925522</v>
      </c>
      <c r="AA3" s="8">
        <f t="shared" si="0"/>
        <v>24746307</v>
      </c>
      <c r="AB3" s="8">
        <f t="shared" si="0"/>
        <v>13889706</v>
      </c>
      <c r="AC3" s="8">
        <f t="shared" si="0"/>
        <v>10680002</v>
      </c>
      <c r="AD3" s="8">
        <f t="shared" si="0"/>
        <v>27035816</v>
      </c>
      <c r="AE3" s="8">
        <f t="shared" si="0"/>
        <v>40925522</v>
      </c>
      <c r="AF3" s="8">
        <f t="shared" si="0"/>
        <v>13588452</v>
      </c>
      <c r="AG3" s="8">
        <f t="shared" si="0"/>
        <v>10143286</v>
      </c>
      <c r="AH3" s="8">
        <f t="shared" si="0"/>
        <v>3566403</v>
      </c>
      <c r="AI3" s="8">
        <f t="shared" si="0"/>
        <v>-10225608</v>
      </c>
      <c r="AJ3" s="8">
        <f t="shared" si="0"/>
        <v>11950773</v>
      </c>
      <c r="AK3" s="8">
        <f t="shared" si="0"/>
        <v>30762954</v>
      </c>
      <c r="AL3" s="8">
        <f t="shared" si="0"/>
        <v>1229652</v>
      </c>
      <c r="AM3" s="8">
        <f t="shared" si="0"/>
        <v>11536474</v>
      </c>
      <c r="AN3" s="8">
        <f t="shared" si="0"/>
        <v>63774264</v>
      </c>
      <c r="AO3" s="8">
        <f t="shared" si="0"/>
        <v>13570134</v>
      </c>
      <c r="AP3" s="8">
        <f t="shared" si="0"/>
        <v>11317502</v>
      </c>
      <c r="AQ3" s="8">
        <f t="shared" si="0"/>
        <v>132276956</v>
      </c>
      <c r="AR3" s="8">
        <f t="shared" si="0"/>
        <v>52879176</v>
      </c>
      <c r="AS3" s="8">
        <f t="shared" si="0"/>
        <v>1411703</v>
      </c>
      <c r="AT3" s="9">
        <f t="shared" si="0"/>
        <v>0.25874802682153603</v>
      </c>
      <c r="AU3" s="9">
        <f t="shared" si="0"/>
        <v>0.22644248321521299</v>
      </c>
      <c r="AV3" s="9">
        <f t="shared" si="0"/>
        <v>0.718175513109232</v>
      </c>
      <c r="AW3" s="9">
        <f t="shared" si="0"/>
        <v>0.51480948996325004</v>
      </c>
      <c r="AX3" s="9">
        <f t="shared" si="0"/>
        <v>0.20336602314598101</v>
      </c>
      <c r="AY3" s="9">
        <f t="shared" si="0"/>
        <v>1.9625669593892427E-2</v>
      </c>
    </row>
    <row r="4" spans="1:51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3" t="s">
        <v>44</v>
      </c>
      <c r="AS5" s="13" t="s">
        <v>45</v>
      </c>
      <c r="AT5" s="13" t="s">
        <v>46</v>
      </c>
      <c r="AU5" s="13" t="s">
        <v>47</v>
      </c>
      <c r="AV5" s="13" t="s">
        <v>48</v>
      </c>
      <c r="AW5" s="13" t="s">
        <v>49</v>
      </c>
      <c r="AX5" s="13" t="s">
        <v>50</v>
      </c>
      <c r="AY5" s="13" t="s">
        <v>51</v>
      </c>
    </row>
    <row r="6" spans="1:51" ht="15.6" x14ac:dyDescent="0.3">
      <c r="A6" s="14" t="s">
        <v>54</v>
      </c>
      <c r="B6" s="16">
        <v>654961.63</v>
      </c>
      <c r="C6" s="16">
        <v>119596885.40000001</v>
      </c>
      <c r="D6" s="16">
        <v>35661480.729999997</v>
      </c>
      <c r="E6" s="16">
        <v>9350668.2899999991</v>
      </c>
      <c r="F6" s="16">
        <v>331512.56</v>
      </c>
      <c r="G6" s="16"/>
      <c r="H6" s="16">
        <v>12931153.890000001</v>
      </c>
      <c r="I6" s="16"/>
      <c r="J6" s="16">
        <v>291962.36</v>
      </c>
      <c r="K6" s="16">
        <v>1150820.8400000001</v>
      </c>
      <c r="L6" s="16"/>
      <c r="M6" s="16">
        <v>10988502.6</v>
      </c>
      <c r="N6" s="16">
        <v>7376342.04</v>
      </c>
      <c r="O6" s="16">
        <v>1623351.66</v>
      </c>
      <c r="P6" s="16">
        <v>1108914.3500000001</v>
      </c>
      <c r="Q6" s="16">
        <v>11521351.42</v>
      </c>
      <c r="R6" s="16">
        <v>116553.3</v>
      </c>
      <c r="S6" s="16">
        <v>89186.38</v>
      </c>
      <c r="T6" s="16"/>
      <c r="U6" s="16"/>
      <c r="V6" s="16"/>
      <c r="W6" s="16"/>
      <c r="X6" s="16"/>
      <c r="Y6" s="16">
        <v>212793647.5</v>
      </c>
      <c r="Z6" s="16">
        <v>254141416.40000001</v>
      </c>
      <c r="AA6" s="16">
        <v>-41347768.990000002</v>
      </c>
      <c r="AB6" s="16">
        <v>238844305.84</v>
      </c>
      <c r="AC6" s="16">
        <v>28709627.579999998</v>
      </c>
      <c r="AD6" s="16">
        <v>15297110.630000001</v>
      </c>
      <c r="AE6" s="15">
        <v>254141416.47</v>
      </c>
      <c r="AF6" s="15">
        <v>27374096.859999999</v>
      </c>
      <c r="AG6" s="15">
        <v>4616139.97</v>
      </c>
      <c r="AH6" s="15">
        <v>-1108234.2</v>
      </c>
      <c r="AI6" s="15">
        <v>34622435.659999996</v>
      </c>
      <c r="AJ6" s="15">
        <v>65504438.289999999</v>
      </c>
      <c r="AK6" s="15">
        <v>63046156.229999997</v>
      </c>
      <c r="AL6" s="15">
        <v>0</v>
      </c>
      <c r="AM6" s="15">
        <v>263340518.09999999</v>
      </c>
      <c r="AN6" s="15">
        <v>53533829.619999997</v>
      </c>
      <c r="AO6" s="15">
        <v>84709604.349999994</v>
      </c>
      <c r="AP6" s="15">
        <v>55501247.229999997</v>
      </c>
      <c r="AQ6" s="15">
        <v>520298782</v>
      </c>
      <c r="AR6" s="16">
        <v>361896991.89999998</v>
      </c>
      <c r="AS6" s="16">
        <v>0</v>
      </c>
      <c r="AT6" s="17">
        <v>0.390683904240611</v>
      </c>
      <c r="AU6" s="17">
        <v>0.39099528822949098</v>
      </c>
      <c r="AV6" s="17">
        <v>0.62806544393798402</v>
      </c>
      <c r="AW6" s="17">
        <v>0.218320806530855</v>
      </c>
      <c r="AX6" s="17">
        <v>0.40974463740712902</v>
      </c>
      <c r="AY6" s="17">
        <f>Y6/$Y$31</f>
        <v>6.359222639458105E-2</v>
      </c>
    </row>
    <row r="7" spans="1:51" ht="15.6" x14ac:dyDescent="0.3">
      <c r="A7" s="14" t="s">
        <v>56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6"/>
      <c r="AS7" s="16"/>
      <c r="AT7" s="17"/>
      <c r="AU7" s="17"/>
      <c r="AV7" s="17"/>
      <c r="AW7" s="17"/>
      <c r="AX7" s="17"/>
      <c r="AY7" s="17"/>
    </row>
    <row r="8" spans="1:51" ht="15.6" x14ac:dyDescent="0.3">
      <c r="A8" s="14" t="s">
        <v>57</v>
      </c>
      <c r="B8" s="16">
        <v>134786</v>
      </c>
      <c r="C8" s="16"/>
      <c r="D8" s="16">
        <v>2650965</v>
      </c>
      <c r="E8" s="16"/>
      <c r="F8" s="16"/>
      <c r="G8" s="16"/>
      <c r="H8" s="16">
        <v>218721</v>
      </c>
      <c r="I8" s="16"/>
      <c r="J8" s="16"/>
      <c r="K8" s="16"/>
      <c r="L8" s="16"/>
      <c r="M8" s="16"/>
      <c r="N8" s="16">
        <v>164292</v>
      </c>
      <c r="O8" s="16"/>
      <c r="P8" s="16">
        <v>52408</v>
      </c>
      <c r="Q8" s="16">
        <v>4459</v>
      </c>
      <c r="R8" s="16"/>
      <c r="S8" s="16"/>
      <c r="T8" s="16"/>
      <c r="U8" s="16"/>
      <c r="V8" s="16"/>
      <c r="W8" s="16"/>
      <c r="X8" s="16"/>
      <c r="Y8" s="16">
        <v>3225631</v>
      </c>
      <c r="Z8" s="16">
        <v>1479406</v>
      </c>
      <c r="AA8" s="16">
        <v>1746225</v>
      </c>
      <c r="AB8" s="16">
        <v>854827</v>
      </c>
      <c r="AC8" s="16">
        <v>5478800</v>
      </c>
      <c r="AD8" s="16">
        <v>624579</v>
      </c>
      <c r="AE8" s="15">
        <v>1479406</v>
      </c>
      <c r="AF8" s="15">
        <v>1396837</v>
      </c>
      <c r="AG8" s="15">
        <v>1697580</v>
      </c>
      <c r="AH8" s="15">
        <v>-17675</v>
      </c>
      <c r="AI8" s="15">
        <v>-5558799</v>
      </c>
      <c r="AJ8" s="15">
        <v>-2482057</v>
      </c>
      <c r="AK8" s="15">
        <v>2297071</v>
      </c>
      <c r="AL8" s="15">
        <v>0</v>
      </c>
      <c r="AM8" s="15">
        <v>2575770</v>
      </c>
      <c r="AN8" s="15">
        <v>37653758</v>
      </c>
      <c r="AO8" s="15">
        <v>23001141</v>
      </c>
      <c r="AP8" s="15">
        <v>530953</v>
      </c>
      <c r="AQ8" s="15">
        <v>66777598</v>
      </c>
      <c r="AR8" s="16">
        <v>4155900</v>
      </c>
      <c r="AS8" s="16">
        <v>2976114</v>
      </c>
      <c r="AT8" s="17">
        <v>0.52687369397777595</v>
      </c>
      <c r="AU8" s="17">
        <v>0.23754101947057499</v>
      </c>
      <c r="AV8" s="17">
        <v>2.30213678437525</v>
      </c>
      <c r="AW8" s="17">
        <v>0.23558528655164801</v>
      </c>
      <c r="AX8" s="17">
        <v>2.0665514978236099</v>
      </c>
      <c r="AY8" s="17">
        <f t="shared" ref="AY8:AY30" si="1">Y8/$Y$31</f>
        <v>9.6396231385327828E-4</v>
      </c>
    </row>
    <row r="9" spans="1:51" ht="15.6" x14ac:dyDescent="0.3">
      <c r="A9" s="14" t="s">
        <v>58</v>
      </c>
      <c r="B9" s="16">
        <v>483508</v>
      </c>
      <c r="C9" s="16">
        <v>12307969</v>
      </c>
      <c r="D9" s="16">
        <v>22908477</v>
      </c>
      <c r="E9" s="16">
        <v>4668981</v>
      </c>
      <c r="F9" s="16">
        <v>3338</v>
      </c>
      <c r="G9" s="16"/>
      <c r="H9" s="16">
        <v>284749</v>
      </c>
      <c r="I9" s="16">
        <v>853479</v>
      </c>
      <c r="J9" s="16">
        <v>46495</v>
      </c>
      <c r="K9" s="16">
        <v>574992</v>
      </c>
      <c r="L9" s="16">
        <v>134665</v>
      </c>
      <c r="M9" s="16">
        <v>6707534</v>
      </c>
      <c r="N9" s="16">
        <v>497124</v>
      </c>
      <c r="O9" s="16">
        <v>864303</v>
      </c>
      <c r="P9" s="16"/>
      <c r="Q9" s="16">
        <v>841731</v>
      </c>
      <c r="R9" s="16">
        <v>55627</v>
      </c>
      <c r="S9" s="16"/>
      <c r="T9" s="16"/>
      <c r="U9" s="16"/>
      <c r="V9" s="16"/>
      <c r="W9" s="16"/>
      <c r="X9" s="16"/>
      <c r="Y9" s="16">
        <v>51232972</v>
      </c>
      <c r="Z9" s="16">
        <v>15031268</v>
      </c>
      <c r="AA9" s="16">
        <v>36201704</v>
      </c>
      <c r="AB9" s="16">
        <v>7576797</v>
      </c>
      <c r="AC9" s="16">
        <v>22699608</v>
      </c>
      <c r="AD9" s="16">
        <v>7454471</v>
      </c>
      <c r="AE9" s="15">
        <v>15031268</v>
      </c>
      <c r="AF9" s="15">
        <v>24112159</v>
      </c>
      <c r="AG9" s="15">
        <v>31293167</v>
      </c>
      <c r="AH9" s="15">
        <v>-1635612</v>
      </c>
      <c r="AI9" s="15">
        <v>-30850330</v>
      </c>
      <c r="AJ9" s="15">
        <v>16832929</v>
      </c>
      <c r="AK9" s="15">
        <v>22064339</v>
      </c>
      <c r="AL9" s="15">
        <v>0</v>
      </c>
      <c r="AM9" s="15">
        <v>20032111</v>
      </c>
      <c r="AN9" s="15">
        <v>86058201</v>
      </c>
      <c r="AO9" s="15">
        <v>911174</v>
      </c>
      <c r="AP9" s="15">
        <v>11382987</v>
      </c>
      <c r="AQ9" s="15">
        <v>140448812</v>
      </c>
      <c r="AR9" s="16">
        <v>52316013</v>
      </c>
      <c r="AS9" s="16">
        <v>0</v>
      </c>
      <c r="AT9" s="17">
        <v>0.60528666417829302</v>
      </c>
      <c r="AU9" s="17">
        <v>0.20758401717364</v>
      </c>
      <c r="AV9" s="17">
        <v>0.75695676564171299</v>
      </c>
      <c r="AW9" s="17">
        <v>0.18712931864806501</v>
      </c>
      <c r="AX9" s="17">
        <v>0.56982744699364696</v>
      </c>
      <c r="AY9" s="17">
        <f t="shared" si="1"/>
        <v>1.5310695561488657E-2</v>
      </c>
    </row>
    <row r="10" spans="1:51" ht="15.6" x14ac:dyDescent="0.3">
      <c r="A10" s="14" t="s">
        <v>52</v>
      </c>
      <c r="B10" s="16">
        <v>810605</v>
      </c>
      <c r="C10" s="16">
        <v>7014209</v>
      </c>
      <c r="D10" s="16">
        <v>25473362</v>
      </c>
      <c r="E10" s="16">
        <v>24417319</v>
      </c>
      <c r="F10" s="16"/>
      <c r="G10" s="16"/>
      <c r="H10" s="16">
        <v>443248</v>
      </c>
      <c r="I10" s="16">
        <v>95851</v>
      </c>
      <c r="J10" s="16"/>
      <c r="K10" s="16">
        <v>1411152</v>
      </c>
      <c r="L10" s="16">
        <v>201662</v>
      </c>
      <c r="M10" s="16">
        <v>956535</v>
      </c>
      <c r="N10" s="16">
        <v>1426453</v>
      </c>
      <c r="O10" s="16">
        <v>18657</v>
      </c>
      <c r="P10" s="16">
        <v>2520439</v>
      </c>
      <c r="Q10" s="16"/>
      <c r="R10" s="16">
        <v>882337</v>
      </c>
      <c r="S10" s="16"/>
      <c r="T10" s="16"/>
      <c r="U10" s="16"/>
      <c r="V10" s="16"/>
      <c r="W10" s="16"/>
      <c r="X10" s="16"/>
      <c r="Y10" s="16">
        <v>65671829</v>
      </c>
      <c r="Z10" s="16">
        <v>40925522</v>
      </c>
      <c r="AA10" s="16">
        <v>24746307</v>
      </c>
      <c r="AB10" s="16">
        <v>13889706</v>
      </c>
      <c r="AC10" s="16">
        <v>10680002</v>
      </c>
      <c r="AD10" s="16">
        <v>27035816</v>
      </c>
      <c r="AE10" s="15">
        <v>40925522</v>
      </c>
      <c r="AF10" s="15">
        <v>13588452</v>
      </c>
      <c r="AG10" s="15">
        <v>10143286</v>
      </c>
      <c r="AH10" s="15">
        <v>3566403</v>
      </c>
      <c r="AI10" s="15">
        <v>-10225608</v>
      </c>
      <c r="AJ10" s="15">
        <v>11950773</v>
      </c>
      <c r="AK10" s="15">
        <v>30762954</v>
      </c>
      <c r="AL10" s="15">
        <v>1229652</v>
      </c>
      <c r="AM10" s="15">
        <v>11536474</v>
      </c>
      <c r="AN10" s="15">
        <v>63774264</v>
      </c>
      <c r="AO10" s="15">
        <v>13570134</v>
      </c>
      <c r="AP10" s="15">
        <v>11317502</v>
      </c>
      <c r="AQ10" s="15">
        <v>132276956</v>
      </c>
      <c r="AR10" s="16">
        <v>52879176</v>
      </c>
      <c r="AS10" s="16">
        <v>1411703</v>
      </c>
      <c r="AT10" s="17">
        <v>0.25874802682153603</v>
      </c>
      <c r="AU10" s="17">
        <v>0.22644248321521299</v>
      </c>
      <c r="AV10" s="17">
        <v>0.718175513109232</v>
      </c>
      <c r="AW10" s="17">
        <v>0.51480948996325004</v>
      </c>
      <c r="AX10" s="17">
        <v>0.20336602314598101</v>
      </c>
      <c r="AY10" s="17">
        <f t="shared" si="1"/>
        <v>1.9625669593892427E-2</v>
      </c>
    </row>
    <row r="11" spans="1:51" ht="15.6" x14ac:dyDescent="0.3">
      <c r="A11" s="14" t="s">
        <v>59</v>
      </c>
      <c r="B11" s="16">
        <v>8761916</v>
      </c>
      <c r="C11" s="16">
        <v>146128990</v>
      </c>
      <c r="D11" s="16">
        <v>174396453</v>
      </c>
      <c r="E11" s="16">
        <v>18450321</v>
      </c>
      <c r="F11" s="16">
        <v>1349214</v>
      </c>
      <c r="G11" s="16">
        <v>0</v>
      </c>
      <c r="H11" s="16">
        <v>12694335</v>
      </c>
      <c r="I11" s="16">
        <v>4316534</v>
      </c>
      <c r="J11" s="16">
        <v>2207496</v>
      </c>
      <c r="K11" s="16">
        <v>11754847</v>
      </c>
      <c r="L11" s="16">
        <v>9216840</v>
      </c>
      <c r="M11" s="16">
        <v>21619376</v>
      </c>
      <c r="N11" s="16">
        <v>26998588</v>
      </c>
      <c r="O11" s="16">
        <v>20760745</v>
      </c>
      <c r="P11" s="16">
        <v>11838755</v>
      </c>
      <c r="Q11" s="16">
        <v>15760499</v>
      </c>
      <c r="R11" s="16">
        <v>16520580</v>
      </c>
      <c r="S11" s="16">
        <v>1347506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504122995</v>
      </c>
      <c r="Z11" s="16">
        <v>477471465</v>
      </c>
      <c r="AA11" s="16">
        <v>26651530</v>
      </c>
      <c r="AB11" s="16">
        <v>400179937</v>
      </c>
      <c r="AC11" s="16">
        <v>99429990</v>
      </c>
      <c r="AD11" s="16">
        <v>77291528</v>
      </c>
      <c r="AE11" s="15">
        <v>477471465</v>
      </c>
      <c r="AF11" s="15">
        <v>117078386</v>
      </c>
      <c r="AG11" s="15">
        <v>37657688</v>
      </c>
      <c r="AH11" s="15">
        <v>-8084433</v>
      </c>
      <c r="AI11" s="15">
        <v>-94394726</v>
      </c>
      <c r="AJ11" s="15">
        <v>37801915</v>
      </c>
      <c r="AK11" s="15">
        <v>88360137</v>
      </c>
      <c r="AL11" s="15">
        <v>0</v>
      </c>
      <c r="AM11" s="15">
        <v>211212980</v>
      </c>
      <c r="AN11" s="15">
        <v>378713638</v>
      </c>
      <c r="AO11" s="15">
        <v>91424456</v>
      </c>
      <c r="AP11" s="15">
        <v>19719530</v>
      </c>
      <c r="AQ11" s="15">
        <v>789430741</v>
      </c>
      <c r="AR11" s="16">
        <v>441444969</v>
      </c>
      <c r="AS11" s="16">
        <v>0</v>
      </c>
      <c r="AT11" s="17">
        <v>0.38791126976595902</v>
      </c>
      <c r="AU11" s="17">
        <v>0.35600171201505598</v>
      </c>
      <c r="AV11" s="17">
        <v>0.58552454286778299</v>
      </c>
      <c r="AW11" s="17">
        <v>0.256087018218983</v>
      </c>
      <c r="AX11" s="17">
        <v>0.329437524648799</v>
      </c>
      <c r="AY11" s="17">
        <f t="shared" si="1"/>
        <v>0.15065442039924737</v>
      </c>
    </row>
    <row r="12" spans="1:51" ht="15.6" x14ac:dyDescent="0.3">
      <c r="A12" s="14" t="s">
        <v>60</v>
      </c>
      <c r="B12" s="16"/>
      <c r="C12" s="16">
        <v>148044323</v>
      </c>
      <c r="D12" s="16">
        <v>68910107</v>
      </c>
      <c r="E12" s="16"/>
      <c r="F12" s="16"/>
      <c r="G12" s="16"/>
      <c r="H12" s="16"/>
      <c r="I12" s="16"/>
      <c r="J12" s="16"/>
      <c r="K12" s="16"/>
      <c r="L12" s="16"/>
      <c r="M12" s="16">
        <v>45737418</v>
      </c>
      <c r="N12" s="16"/>
      <c r="O12" s="16">
        <v>12624026</v>
      </c>
      <c r="P12" s="16">
        <v>23603890</v>
      </c>
      <c r="Q12" s="16">
        <v>14520404</v>
      </c>
      <c r="R12" s="16"/>
      <c r="S12" s="16"/>
      <c r="T12" s="16"/>
      <c r="U12" s="16"/>
      <c r="V12" s="16"/>
      <c r="W12" s="16"/>
      <c r="X12" s="16"/>
      <c r="Y12" s="16">
        <v>313440168</v>
      </c>
      <c r="Z12" s="16">
        <v>75132814</v>
      </c>
      <c r="AA12" s="16">
        <v>238307354</v>
      </c>
      <c r="AB12" s="16">
        <v>45694526</v>
      </c>
      <c r="AC12" s="16">
        <v>6720988</v>
      </c>
      <c r="AD12" s="16">
        <v>29438288</v>
      </c>
      <c r="AE12" s="15">
        <v>75132814</v>
      </c>
      <c r="AF12" s="15">
        <v>38914089</v>
      </c>
      <c r="AG12" s="15">
        <v>21101366</v>
      </c>
      <c r="AH12" s="15">
        <v>0</v>
      </c>
      <c r="AI12" s="15">
        <v>-6720988</v>
      </c>
      <c r="AJ12" s="15">
        <v>39135838</v>
      </c>
      <c r="AK12" s="15">
        <v>75093843</v>
      </c>
      <c r="AL12" s="15">
        <v>0</v>
      </c>
      <c r="AM12" s="15">
        <v>321673784</v>
      </c>
      <c r="AN12" s="15">
        <v>181752929</v>
      </c>
      <c r="AO12" s="15">
        <v>551181</v>
      </c>
      <c r="AP12" s="15">
        <v>50320395</v>
      </c>
      <c r="AQ12" s="15">
        <v>630156300</v>
      </c>
      <c r="AR12" s="16">
        <v>388384562</v>
      </c>
      <c r="AS12" s="16">
        <v>6049493</v>
      </c>
      <c r="AT12" s="17">
        <v>0.36361396432530302</v>
      </c>
      <c r="AU12" s="17">
        <v>0.361314130416165</v>
      </c>
      <c r="AV12" s="17">
        <v>0.33787294091589298</v>
      </c>
      <c r="AW12" s="17">
        <v>0.27507190525852998</v>
      </c>
      <c r="AX12" s="17">
        <v>6.2801035657362905E-2</v>
      </c>
      <c r="AY12" s="17">
        <f t="shared" si="1"/>
        <v>9.366989268141343E-2</v>
      </c>
    </row>
    <row r="13" spans="1:51" ht="15.6" x14ac:dyDescent="0.3">
      <c r="A13" s="14" t="s">
        <v>61</v>
      </c>
      <c r="B13" s="16">
        <v>1734895</v>
      </c>
      <c r="C13" s="16">
        <v>141594283</v>
      </c>
      <c r="D13" s="16">
        <v>33725915</v>
      </c>
      <c r="E13" s="16">
        <v>10417933</v>
      </c>
      <c r="F13" s="16"/>
      <c r="G13" s="16">
        <v>1686983</v>
      </c>
      <c r="H13" s="16">
        <v>15093078</v>
      </c>
      <c r="I13" s="16">
        <v>379604</v>
      </c>
      <c r="J13" s="16"/>
      <c r="K13" s="16">
        <v>1895952</v>
      </c>
      <c r="L13" s="16">
        <v>332129</v>
      </c>
      <c r="M13" s="16">
        <v>16162568</v>
      </c>
      <c r="N13" s="16">
        <v>31542467</v>
      </c>
      <c r="O13" s="16">
        <v>454073</v>
      </c>
      <c r="P13" s="16">
        <v>14761833</v>
      </c>
      <c r="Q13" s="16">
        <v>30618171</v>
      </c>
      <c r="R13" s="16">
        <v>8548078</v>
      </c>
      <c r="S13" s="16"/>
      <c r="T13" s="16"/>
      <c r="U13" s="16">
        <v>146712</v>
      </c>
      <c r="V13" s="16"/>
      <c r="W13" s="16"/>
      <c r="X13" s="16"/>
      <c r="Y13" s="16">
        <v>309094674</v>
      </c>
      <c r="Z13" s="16">
        <v>257147169</v>
      </c>
      <c r="AA13" s="16">
        <v>51947505</v>
      </c>
      <c r="AB13" s="16">
        <v>123389044</v>
      </c>
      <c r="AC13" s="16">
        <v>21808802</v>
      </c>
      <c r="AD13" s="16">
        <v>133758125</v>
      </c>
      <c r="AE13" s="15">
        <v>257147169</v>
      </c>
      <c r="AF13" s="15">
        <v>45286122</v>
      </c>
      <c r="AG13" s="15">
        <v>7710779</v>
      </c>
      <c r="AH13" s="15">
        <v>-1716976</v>
      </c>
      <c r="AI13" s="15">
        <v>-21805117</v>
      </c>
      <c r="AJ13" s="15">
        <v>20317634</v>
      </c>
      <c r="AK13" s="15">
        <v>46698610</v>
      </c>
      <c r="AL13" s="15">
        <v>0</v>
      </c>
      <c r="AM13" s="15">
        <v>199822776</v>
      </c>
      <c r="AN13" s="15">
        <v>183354190</v>
      </c>
      <c r="AO13" s="15">
        <v>2233309</v>
      </c>
      <c r="AP13" s="15">
        <v>12462604</v>
      </c>
      <c r="AQ13" s="15">
        <v>448330975</v>
      </c>
      <c r="AR13" s="16">
        <v>271630680</v>
      </c>
      <c r="AS13" s="16">
        <v>2055879</v>
      </c>
      <c r="AT13" s="17">
        <v>0.195595535230152</v>
      </c>
      <c r="AU13" s="17">
        <v>0.226689021377351</v>
      </c>
      <c r="AV13" s="17">
        <v>0.67190995843439705</v>
      </c>
      <c r="AW13" s="17">
        <v>0.57771544339249503</v>
      </c>
      <c r="AX13" s="17">
        <v>9.4194515041902196E-2</v>
      </c>
      <c r="AY13" s="17">
        <f t="shared" si="1"/>
        <v>9.2371265389241591E-2</v>
      </c>
    </row>
    <row r="14" spans="1:51" ht="15.6" x14ac:dyDescent="0.3">
      <c r="A14" s="14" t="s">
        <v>62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6"/>
      <c r="AS14" s="16"/>
      <c r="AT14" s="17"/>
      <c r="AU14" s="17"/>
      <c r="AV14" s="17"/>
      <c r="AW14" s="17"/>
      <c r="AX14" s="17"/>
      <c r="AY14" s="17"/>
    </row>
    <row r="15" spans="1:51" ht="15.6" x14ac:dyDescent="0.3">
      <c r="A15" s="14" t="s">
        <v>63</v>
      </c>
      <c r="B15" s="16">
        <v>940555.6</v>
      </c>
      <c r="C15" s="16">
        <v>3762222.4</v>
      </c>
      <c r="D15" s="16">
        <v>20545043.399999999</v>
      </c>
      <c r="E15" s="16">
        <v>8805018.5999999996</v>
      </c>
      <c r="F15" s="16"/>
      <c r="G15" s="16"/>
      <c r="H15" s="16">
        <v>943550.7</v>
      </c>
      <c r="I15" s="16">
        <v>629033.80000000005</v>
      </c>
      <c r="J15" s="16">
        <v>157258.45000000001</v>
      </c>
      <c r="K15" s="16">
        <v>314516.90000000002</v>
      </c>
      <c r="L15" s="16">
        <v>1100809.1499999999</v>
      </c>
      <c r="M15" s="16"/>
      <c r="N15" s="16">
        <v>3293756</v>
      </c>
      <c r="O15" s="16"/>
      <c r="P15" s="16">
        <v>9136313</v>
      </c>
      <c r="Q15" s="16">
        <v>214329</v>
      </c>
      <c r="R15" s="16"/>
      <c r="S15" s="16"/>
      <c r="T15" s="16"/>
      <c r="U15" s="16"/>
      <c r="V15" s="16"/>
      <c r="W15" s="16"/>
      <c r="X15" s="16"/>
      <c r="Y15" s="16">
        <v>49842407</v>
      </c>
      <c r="Z15" s="16">
        <v>30960570</v>
      </c>
      <c r="AA15" s="16">
        <v>18881837</v>
      </c>
      <c r="AB15" s="16">
        <v>30960570</v>
      </c>
      <c r="AC15" s="16">
        <v>8637458</v>
      </c>
      <c r="AD15" s="16">
        <v>0</v>
      </c>
      <c r="AE15" s="15">
        <v>30960570</v>
      </c>
      <c r="AF15" s="15">
        <v>6410246</v>
      </c>
      <c r="AG15" s="15">
        <v>7927394</v>
      </c>
      <c r="AH15" s="15">
        <v>454428</v>
      </c>
      <c r="AI15" s="15">
        <v>-8588620</v>
      </c>
      <c r="AJ15" s="15">
        <v>6203448</v>
      </c>
      <c r="AK15" s="15">
        <v>7623701</v>
      </c>
      <c r="AL15" s="15">
        <v>0</v>
      </c>
      <c r="AM15" s="15">
        <v>0</v>
      </c>
      <c r="AN15" s="15">
        <v>78922035</v>
      </c>
      <c r="AO15" s="15">
        <v>36595047</v>
      </c>
      <c r="AP15" s="15">
        <v>5290438</v>
      </c>
      <c r="AQ15" s="15">
        <v>130097971</v>
      </c>
      <c r="AR15" s="16">
        <v>45893848</v>
      </c>
      <c r="AS15" s="16">
        <v>9068926</v>
      </c>
      <c r="AT15" s="17">
        <v>0.17153080093300599</v>
      </c>
      <c r="AU15" s="17">
        <v>0.82846919906699301</v>
      </c>
      <c r="AV15" s="17">
        <v>0.23112842919994001</v>
      </c>
      <c r="AW15" s="17"/>
      <c r="AX15" s="17">
        <v>0.23112842919994001</v>
      </c>
      <c r="AY15" s="17">
        <f t="shared" si="1"/>
        <v>1.4895132759989235E-2</v>
      </c>
    </row>
    <row r="16" spans="1:51" ht="15.6" x14ac:dyDescent="0.3">
      <c r="A16" s="14" t="s">
        <v>64</v>
      </c>
      <c r="B16" s="16">
        <v>493862</v>
      </c>
      <c r="C16" s="16">
        <v>808138</v>
      </c>
      <c r="D16" s="16">
        <v>26440658</v>
      </c>
      <c r="E16" s="16">
        <v>8081384</v>
      </c>
      <c r="F16" s="16">
        <v>2288660</v>
      </c>
      <c r="G16" s="16"/>
      <c r="H16" s="16">
        <v>1750966</v>
      </c>
      <c r="I16" s="16">
        <v>269379</v>
      </c>
      <c r="J16" s="16"/>
      <c r="K16" s="16">
        <v>538759</v>
      </c>
      <c r="L16" s="16">
        <v>224483</v>
      </c>
      <c r="M16" s="16">
        <v>1481587</v>
      </c>
      <c r="N16" s="16">
        <v>897932</v>
      </c>
      <c r="O16" s="16"/>
      <c r="P16" s="16">
        <v>1571380</v>
      </c>
      <c r="Q16" s="16">
        <v>44897</v>
      </c>
      <c r="R16" s="16">
        <v>4490</v>
      </c>
      <c r="S16" s="16"/>
      <c r="T16" s="16"/>
      <c r="U16" s="16"/>
      <c r="V16" s="16"/>
      <c r="W16" s="16"/>
      <c r="X16" s="16"/>
      <c r="Y16" s="16">
        <v>44896575</v>
      </c>
      <c r="Z16" s="16">
        <v>13652471</v>
      </c>
      <c r="AA16" s="16">
        <v>31244104</v>
      </c>
      <c r="AB16" s="16">
        <v>13652471</v>
      </c>
      <c r="AC16" s="16">
        <v>21043732</v>
      </c>
      <c r="AD16" s="16">
        <v>0</v>
      </c>
      <c r="AE16" s="15">
        <v>13652471</v>
      </c>
      <c r="AF16" s="15">
        <v>30851250</v>
      </c>
      <c r="AG16" s="15">
        <v>1882806</v>
      </c>
      <c r="AH16" s="15">
        <v>0</v>
      </c>
      <c r="AI16" s="15">
        <v>-20726168</v>
      </c>
      <c r="AJ16" s="15">
        <v>9005916</v>
      </c>
      <c r="AK16" s="15">
        <v>9499999</v>
      </c>
      <c r="AL16" s="15">
        <v>0</v>
      </c>
      <c r="AM16" s="15">
        <v>0</v>
      </c>
      <c r="AN16" s="15">
        <v>69044744</v>
      </c>
      <c r="AO16" s="15">
        <v>5502267</v>
      </c>
      <c r="AP16" s="15">
        <v>47915962</v>
      </c>
      <c r="AQ16" s="15">
        <v>133625185</v>
      </c>
      <c r="AR16" s="16">
        <v>23647447</v>
      </c>
      <c r="AS16" s="16">
        <v>1789997</v>
      </c>
      <c r="AT16" s="17">
        <v>0.78461950700220995</v>
      </c>
      <c r="AU16" s="17">
        <v>0.215380492997789</v>
      </c>
      <c r="AV16" s="17">
        <v>0.53519136590337901</v>
      </c>
      <c r="AW16" s="17"/>
      <c r="AX16" s="17">
        <v>0.53519136590337901</v>
      </c>
      <c r="AY16" s="17">
        <f t="shared" si="1"/>
        <v>1.3417097715481791E-2</v>
      </c>
    </row>
    <row r="17" spans="1:55" ht="15.6" x14ac:dyDescent="0.3">
      <c r="A17" s="14" t="s">
        <v>65</v>
      </c>
      <c r="B17" s="16"/>
      <c r="C17" s="16">
        <v>2591504</v>
      </c>
      <c r="D17" s="16">
        <v>36464787</v>
      </c>
      <c r="E17" s="16"/>
      <c r="F17" s="16"/>
      <c r="G17" s="16"/>
      <c r="H17" s="16">
        <v>2250870</v>
      </c>
      <c r="I17" s="16"/>
      <c r="J17" s="16">
        <v>239357</v>
      </c>
      <c r="K17" s="16"/>
      <c r="L17" s="16">
        <v>627139</v>
      </c>
      <c r="M17" s="16"/>
      <c r="N17" s="16">
        <v>431136</v>
      </c>
      <c r="O17" s="16"/>
      <c r="P17" s="16">
        <v>5149368</v>
      </c>
      <c r="Q17" s="16">
        <v>24049</v>
      </c>
      <c r="R17" s="16"/>
      <c r="S17" s="16"/>
      <c r="T17" s="16"/>
      <c r="U17" s="16"/>
      <c r="V17" s="16"/>
      <c r="W17" s="16"/>
      <c r="X17" s="16"/>
      <c r="Y17" s="16">
        <v>47778210</v>
      </c>
      <c r="Z17" s="16">
        <v>34777211</v>
      </c>
      <c r="AA17" s="16">
        <v>13000999</v>
      </c>
      <c r="AB17" s="16">
        <v>17689378</v>
      </c>
      <c r="AC17" s="16">
        <v>11258240</v>
      </c>
      <c r="AD17" s="16">
        <v>17087833</v>
      </c>
      <c r="AE17" s="15">
        <v>34777211</v>
      </c>
      <c r="AF17" s="15">
        <v>6312153</v>
      </c>
      <c r="AG17" s="15">
        <v>15574781</v>
      </c>
      <c r="AH17" s="15">
        <v>4026277</v>
      </c>
      <c r="AI17" s="15">
        <v>-11258240</v>
      </c>
      <c r="AJ17" s="15">
        <v>10258480</v>
      </c>
      <c r="AK17" s="15">
        <v>15748524</v>
      </c>
      <c r="AL17" s="15">
        <v>0</v>
      </c>
      <c r="AM17" s="15">
        <v>0</v>
      </c>
      <c r="AN17" s="15">
        <v>89047492</v>
      </c>
      <c r="AO17" s="15">
        <v>24252412</v>
      </c>
      <c r="AP17" s="15">
        <v>26556034</v>
      </c>
      <c r="AQ17" s="15">
        <v>157189134</v>
      </c>
      <c r="AR17" s="16">
        <v>30791167</v>
      </c>
      <c r="AS17" s="16">
        <v>22326304</v>
      </c>
      <c r="AT17" s="17">
        <v>0.182671736861374</v>
      </c>
      <c r="AU17" s="17">
        <v>0.32281171176429801</v>
      </c>
      <c r="AV17" s="17">
        <v>0.82032650160877096</v>
      </c>
      <c r="AW17" s="17">
        <v>0.49451655137432698</v>
      </c>
      <c r="AX17" s="17">
        <v>0.32580995023444398</v>
      </c>
      <c r="AY17" s="17">
        <f t="shared" si="1"/>
        <v>1.4278258692134296E-2</v>
      </c>
    </row>
    <row r="18" spans="1:55" ht="15.6" x14ac:dyDescent="0.3">
      <c r="A18" s="14" t="s">
        <v>66</v>
      </c>
      <c r="B18" s="16">
        <v>342906</v>
      </c>
      <c r="C18" s="16">
        <v>1927826</v>
      </c>
      <c r="D18" s="16">
        <v>9256720</v>
      </c>
      <c r="E18" s="16">
        <v>6901706</v>
      </c>
      <c r="F18" s="16">
        <v>35219</v>
      </c>
      <c r="G18" s="16">
        <v>0</v>
      </c>
      <c r="H18" s="16">
        <v>179298</v>
      </c>
      <c r="I18" s="16">
        <v>168476</v>
      </c>
      <c r="J18" s="16">
        <v>63874</v>
      </c>
      <c r="K18" s="16">
        <v>499663</v>
      </c>
      <c r="L18" s="16">
        <v>118228</v>
      </c>
      <c r="M18" s="16">
        <v>6057700</v>
      </c>
      <c r="N18" s="16">
        <v>124350</v>
      </c>
      <c r="O18" s="16">
        <v>30908</v>
      </c>
      <c r="P18" s="16">
        <v>117339</v>
      </c>
      <c r="Q18" s="16">
        <v>2454443</v>
      </c>
      <c r="R18" s="16">
        <v>113708</v>
      </c>
      <c r="S18" s="16">
        <v>1740484</v>
      </c>
      <c r="T18" s="16">
        <v>0</v>
      </c>
      <c r="U18" s="16"/>
      <c r="V18" s="16"/>
      <c r="W18" s="16"/>
      <c r="X18" s="16"/>
      <c r="Y18" s="16">
        <v>30132848</v>
      </c>
      <c r="Z18" s="16">
        <v>14651280</v>
      </c>
      <c r="AA18" s="16">
        <v>15481567.999999899</v>
      </c>
      <c r="AB18" s="16">
        <v>10908054.846554199</v>
      </c>
      <c r="AC18" s="16">
        <v>12429870</v>
      </c>
      <c r="AD18" s="16">
        <v>3743225.1534457598</v>
      </c>
      <c r="AE18" s="15">
        <v>14651280</v>
      </c>
      <c r="AF18" s="15">
        <v>4916797.7899999795</v>
      </c>
      <c r="AG18" s="15">
        <v>19966668.774296999</v>
      </c>
      <c r="AH18" s="15">
        <v>-1810014</v>
      </c>
      <c r="AI18" s="15">
        <v>-8461417.7300000004</v>
      </c>
      <c r="AJ18" s="15">
        <v>14612034.834296901</v>
      </c>
      <c r="AK18" s="15">
        <v>16524453.5599999</v>
      </c>
      <c r="AL18" s="15">
        <v>0</v>
      </c>
      <c r="AM18" s="15">
        <v>0</v>
      </c>
      <c r="AN18" s="15">
        <v>95191982.709999993</v>
      </c>
      <c r="AO18" s="15">
        <v>30659396.316868301</v>
      </c>
      <c r="AP18" s="15">
        <v>11219626.23</v>
      </c>
      <c r="AQ18" s="15">
        <v>153595458.81999999</v>
      </c>
      <c r="AR18" s="16">
        <v>47958462</v>
      </c>
      <c r="AS18" s="16">
        <v>22773</v>
      </c>
      <c r="AT18" s="17">
        <v>0.28365518996682798</v>
      </c>
      <c r="AU18" s="17">
        <v>0.50039424884702999</v>
      </c>
      <c r="AV18" s="17">
        <v>0.93304271886728796</v>
      </c>
      <c r="AW18" s="17">
        <v>0.21595056118614001</v>
      </c>
      <c r="AX18" s="17">
        <v>0.71709215768114798</v>
      </c>
      <c r="AY18" s="17">
        <f t="shared" si="1"/>
        <v>9.0050380471508144E-3</v>
      </c>
      <c r="BC18" t="s">
        <v>82</v>
      </c>
    </row>
    <row r="19" spans="1:55" ht="15.6" x14ac:dyDescent="0.3">
      <c r="A19" s="14" t="s">
        <v>67</v>
      </c>
      <c r="B19" s="16"/>
      <c r="C19" s="16">
        <v>9829898</v>
      </c>
      <c r="D19" s="16"/>
      <c r="E19" s="16"/>
      <c r="F19" s="16"/>
      <c r="G19" s="16">
        <v>60657587</v>
      </c>
      <c r="H19" s="16"/>
      <c r="I19" s="16"/>
      <c r="J19" s="16"/>
      <c r="K19" s="16">
        <v>5279939</v>
      </c>
      <c r="L19" s="16"/>
      <c r="M19" s="16"/>
      <c r="N19" s="16"/>
      <c r="O19" s="16">
        <v>23604650</v>
      </c>
      <c r="P19" s="16">
        <v>27942002</v>
      </c>
      <c r="Q19" s="16">
        <v>486545</v>
      </c>
      <c r="R19" s="16"/>
      <c r="S19" s="16"/>
      <c r="T19" s="16"/>
      <c r="U19" s="16"/>
      <c r="V19" s="16"/>
      <c r="W19" s="16"/>
      <c r="X19" s="16"/>
      <c r="Y19" s="16">
        <v>127800621</v>
      </c>
      <c r="Z19" s="16">
        <v>56134600</v>
      </c>
      <c r="AA19" s="16">
        <v>71666021</v>
      </c>
      <c r="AB19" s="16">
        <v>33924146</v>
      </c>
      <c r="AC19" s="16">
        <v>42927332</v>
      </c>
      <c r="AD19" s="16">
        <v>22210454</v>
      </c>
      <c r="AE19" s="15">
        <v>56134600</v>
      </c>
      <c r="AF19" s="15">
        <v>43464720</v>
      </c>
      <c r="AG19" s="15">
        <v>12425235</v>
      </c>
      <c r="AH19" s="15">
        <v>0</v>
      </c>
      <c r="AI19" s="15">
        <v>-42813055</v>
      </c>
      <c r="AJ19" s="15">
        <v>9153830</v>
      </c>
      <c r="AK19" s="15">
        <v>20790583</v>
      </c>
      <c r="AL19" s="15">
        <v>0</v>
      </c>
      <c r="AM19" s="15">
        <v>0</v>
      </c>
      <c r="AN19" s="15">
        <v>128260105</v>
      </c>
      <c r="AO19" s="15">
        <v>14117862</v>
      </c>
      <c r="AP19" s="15">
        <v>6091493</v>
      </c>
      <c r="AQ19" s="15">
        <v>169260043</v>
      </c>
      <c r="AR19" s="16">
        <v>0</v>
      </c>
      <c r="AS19" s="16">
        <v>0</v>
      </c>
      <c r="AT19" s="17">
        <v>0.45346370831916299</v>
      </c>
      <c r="AU19" s="17">
        <v>0.31481652368757201</v>
      </c>
      <c r="AV19" s="17">
        <v>0.67957695324529999</v>
      </c>
      <c r="AW19" s="17">
        <v>0.23171976799326399</v>
      </c>
      <c r="AX19" s="17">
        <v>0.44785718525203599</v>
      </c>
      <c r="AY19" s="17">
        <f t="shared" si="1"/>
        <v>3.8192521813885674E-2</v>
      </c>
    </row>
    <row r="20" spans="1:55" ht="15.6" x14ac:dyDescent="0.3">
      <c r="A20" s="14" t="s">
        <v>68</v>
      </c>
      <c r="B20" s="16"/>
      <c r="C20" s="16">
        <v>14700772</v>
      </c>
      <c r="D20" s="16"/>
      <c r="E20" s="16">
        <v>65254813</v>
      </c>
      <c r="F20" s="16"/>
      <c r="G20" s="16"/>
      <c r="H20" s="16">
        <v>8637269</v>
      </c>
      <c r="I20" s="16"/>
      <c r="J20" s="16"/>
      <c r="K20" s="16"/>
      <c r="L20" s="16"/>
      <c r="M20" s="16"/>
      <c r="N20" s="16">
        <v>9028046</v>
      </c>
      <c r="O20" s="16"/>
      <c r="P20" s="16">
        <v>17334060</v>
      </c>
      <c r="Q20" s="16"/>
      <c r="R20" s="16">
        <v>589555</v>
      </c>
      <c r="S20" s="16"/>
      <c r="T20" s="16"/>
      <c r="U20" s="16"/>
      <c r="V20" s="16"/>
      <c r="W20" s="16"/>
      <c r="X20" s="16"/>
      <c r="Y20" s="16">
        <v>115544515</v>
      </c>
      <c r="Z20" s="16">
        <v>45330286</v>
      </c>
      <c r="AA20" s="16">
        <v>70214229</v>
      </c>
      <c r="AB20" s="16">
        <v>34269495</v>
      </c>
      <c r="AC20" s="16">
        <v>53650179</v>
      </c>
      <c r="AD20" s="16">
        <v>11060791</v>
      </c>
      <c r="AE20" s="15">
        <v>45330286</v>
      </c>
      <c r="AF20" s="15">
        <v>57694857</v>
      </c>
      <c r="AG20" s="15">
        <v>-923244</v>
      </c>
      <c r="AH20" s="15">
        <v>-731691</v>
      </c>
      <c r="AI20" s="15">
        <v>-43681688</v>
      </c>
      <c r="AJ20" s="15">
        <v>11286851</v>
      </c>
      <c r="AK20" s="15">
        <v>2756290</v>
      </c>
      <c r="AL20" s="15">
        <v>0</v>
      </c>
      <c r="AM20" s="15">
        <v>5794625</v>
      </c>
      <c r="AN20" s="15">
        <v>111110791</v>
      </c>
      <c r="AO20" s="15">
        <v>21947279</v>
      </c>
      <c r="AP20" s="15">
        <v>7813909</v>
      </c>
      <c r="AQ20" s="15">
        <v>150437894</v>
      </c>
      <c r="AR20" s="16">
        <v>40526541</v>
      </c>
      <c r="AS20" s="16">
        <v>11070269</v>
      </c>
      <c r="AT20" s="17">
        <v>0.58876119194990995</v>
      </c>
      <c r="AU20" s="17">
        <v>0.29836627778159602</v>
      </c>
      <c r="AV20" s="17">
        <v>0.66035882244122601</v>
      </c>
      <c r="AW20" s="17">
        <v>0.11287253026849201</v>
      </c>
      <c r="AX20" s="17">
        <v>0.54748629217273304</v>
      </c>
      <c r="AY20" s="17">
        <f t="shared" si="1"/>
        <v>3.4529851068660619E-2</v>
      </c>
    </row>
    <row r="21" spans="1:55" ht="15.6" x14ac:dyDescent="0.3">
      <c r="A21" s="14" t="s">
        <v>69</v>
      </c>
      <c r="B21" s="16">
        <v>43459</v>
      </c>
      <c r="C21" s="16">
        <v>2129490</v>
      </c>
      <c r="D21" s="16">
        <v>13234244</v>
      </c>
      <c r="E21" s="16">
        <v>37362216</v>
      </c>
      <c r="F21" s="16">
        <v>50341</v>
      </c>
      <c r="G21" s="16">
        <v>0</v>
      </c>
      <c r="H21" s="16">
        <v>1322096</v>
      </c>
      <c r="I21" s="16">
        <v>0</v>
      </c>
      <c r="J21" s="16">
        <v>0</v>
      </c>
      <c r="K21" s="16">
        <v>330524</v>
      </c>
      <c r="L21" s="16">
        <v>966734</v>
      </c>
      <c r="M21" s="16">
        <v>184140</v>
      </c>
      <c r="N21" s="16">
        <v>609234</v>
      </c>
      <c r="O21" s="16">
        <v>225333</v>
      </c>
      <c r="P21" s="16">
        <v>4876581</v>
      </c>
      <c r="Q21" s="16">
        <v>33642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61368034</v>
      </c>
      <c r="Z21" s="16">
        <v>33438960</v>
      </c>
      <c r="AA21" s="16">
        <v>27929074</v>
      </c>
      <c r="AB21" s="16">
        <v>5894959</v>
      </c>
      <c r="AC21" s="16">
        <v>13751875</v>
      </c>
      <c r="AD21" s="16">
        <v>27544001</v>
      </c>
      <c r="AE21" s="15">
        <v>33438960</v>
      </c>
      <c r="AF21" s="15">
        <v>25499426</v>
      </c>
      <c r="AG21" s="15">
        <v>4157190</v>
      </c>
      <c r="AH21" s="15">
        <v>-341479</v>
      </c>
      <c r="AI21" s="15">
        <v>-13587975</v>
      </c>
      <c r="AJ21" s="15">
        <v>11009001</v>
      </c>
      <c r="AK21" s="15">
        <v>7912406</v>
      </c>
      <c r="AL21" s="15">
        <v>500450</v>
      </c>
      <c r="AM21" s="15">
        <v>2199152</v>
      </c>
      <c r="AN21" s="15">
        <v>64095014</v>
      </c>
      <c r="AO21" s="15">
        <v>15824992</v>
      </c>
      <c r="AP21" s="15">
        <v>27219134</v>
      </c>
      <c r="AQ21" s="15">
        <v>117751148</v>
      </c>
      <c r="AR21" s="16">
        <v>20019522</v>
      </c>
      <c r="AS21" s="16">
        <v>8193188</v>
      </c>
      <c r="AT21" s="17">
        <v>0.44910079894541</v>
      </c>
      <c r="AU21" s="17">
        <v>6.5788953661053501E-2</v>
      </c>
      <c r="AV21" s="17">
        <v>0.72731091691046601</v>
      </c>
      <c r="AW21" s="17">
        <v>0.48511024739353598</v>
      </c>
      <c r="AX21" s="17">
        <v>0.24220066951692901</v>
      </c>
      <c r="AY21" s="17">
        <f t="shared" si="1"/>
        <v>1.8339503821505513E-2</v>
      </c>
    </row>
    <row r="22" spans="1:55" ht="15.6" x14ac:dyDescent="0.3">
      <c r="A22" s="14" t="s">
        <v>70</v>
      </c>
      <c r="B22" s="16"/>
      <c r="C22" s="16">
        <v>10962755</v>
      </c>
      <c r="D22" s="16">
        <v>56183617</v>
      </c>
      <c r="E22" s="16"/>
      <c r="F22" s="16"/>
      <c r="G22" s="16"/>
      <c r="H22" s="16"/>
      <c r="I22" s="16"/>
      <c r="J22" s="16"/>
      <c r="K22" s="16">
        <v>190447</v>
      </c>
      <c r="L22" s="16">
        <v>-413511</v>
      </c>
      <c r="M22" s="16"/>
      <c r="N22" s="16">
        <v>3269459</v>
      </c>
      <c r="O22" s="16"/>
      <c r="P22" s="16">
        <v>3996066</v>
      </c>
      <c r="Q22" s="16"/>
      <c r="R22" s="16">
        <v>5314085</v>
      </c>
      <c r="S22" s="16"/>
      <c r="T22" s="16"/>
      <c r="U22" s="16"/>
      <c r="V22" s="16"/>
      <c r="W22" s="16"/>
      <c r="X22" s="16"/>
      <c r="Y22" s="16">
        <v>79502918</v>
      </c>
      <c r="Z22" s="16">
        <v>46055960</v>
      </c>
      <c r="AA22" s="16">
        <v>33446958</v>
      </c>
      <c r="AB22" s="16">
        <v>32575572</v>
      </c>
      <c r="AC22" s="16">
        <v>36209931</v>
      </c>
      <c r="AD22" s="16">
        <v>13480388</v>
      </c>
      <c r="AE22" s="15">
        <v>46055960</v>
      </c>
      <c r="AF22" s="15">
        <v>35582217</v>
      </c>
      <c r="AG22" s="15">
        <v>7840183</v>
      </c>
      <c r="AH22" s="15">
        <v>-298136</v>
      </c>
      <c r="AI22" s="15">
        <v>-36209931</v>
      </c>
      <c r="AJ22" s="15">
        <v>4450593</v>
      </c>
      <c r="AK22" s="15">
        <v>4016126</v>
      </c>
      <c r="AL22" s="15">
        <v>0</v>
      </c>
      <c r="AM22" s="15">
        <v>23659883</v>
      </c>
      <c r="AN22" s="15">
        <v>65376183</v>
      </c>
      <c r="AO22" s="15">
        <v>5479319</v>
      </c>
      <c r="AP22" s="15">
        <v>33271315</v>
      </c>
      <c r="AQ22" s="15">
        <v>133030426</v>
      </c>
      <c r="AR22" s="16">
        <v>59172386</v>
      </c>
      <c r="AS22" s="16">
        <v>0</v>
      </c>
      <c r="AT22" s="17">
        <v>0.44755862923169598</v>
      </c>
      <c r="AU22" s="17">
        <v>0.38288296537744598</v>
      </c>
      <c r="AV22" s="17">
        <v>0.62501251840844296</v>
      </c>
      <c r="AW22" s="17">
        <v>0.16955840539085601</v>
      </c>
      <c r="AX22" s="17">
        <v>0.45545411301758698</v>
      </c>
      <c r="AY22" s="17">
        <f t="shared" si="1"/>
        <v>2.3759015458794712E-2</v>
      </c>
    </row>
    <row r="23" spans="1:55" ht="15.6" x14ac:dyDescent="0.3">
      <c r="A23" s="14" t="s">
        <v>71</v>
      </c>
      <c r="B23" s="16">
        <v>2681130</v>
      </c>
      <c r="C23" s="16">
        <v>3788308</v>
      </c>
      <c r="D23" s="16">
        <v>40289199</v>
      </c>
      <c r="E23" s="16">
        <v>9816495</v>
      </c>
      <c r="F23" s="16">
        <v>178183</v>
      </c>
      <c r="G23" s="16">
        <v>4027376</v>
      </c>
      <c r="H23" s="16">
        <v>884552</v>
      </c>
      <c r="I23" s="16">
        <v>377649</v>
      </c>
      <c r="J23" s="16">
        <v>311740</v>
      </c>
      <c r="K23" s="16">
        <v>427070</v>
      </c>
      <c r="L23" s="16">
        <v>243303</v>
      </c>
      <c r="M23" s="16">
        <v>2801464</v>
      </c>
      <c r="N23" s="16">
        <v>338928</v>
      </c>
      <c r="O23" s="16">
        <v>16513112</v>
      </c>
      <c r="P23" s="16">
        <v>5376297</v>
      </c>
      <c r="Q23" s="16">
        <v>202265</v>
      </c>
      <c r="R23" s="16">
        <v>0</v>
      </c>
      <c r="S23" s="16">
        <v>8702813</v>
      </c>
      <c r="T23" s="16"/>
      <c r="U23" s="16"/>
      <c r="V23" s="16"/>
      <c r="W23" s="16"/>
      <c r="X23" s="16"/>
      <c r="Y23" s="16">
        <v>96959884</v>
      </c>
      <c r="Z23" s="16">
        <v>51147979</v>
      </c>
      <c r="AA23" s="16">
        <v>45811905</v>
      </c>
      <c r="AB23" s="16">
        <v>40173954</v>
      </c>
      <c r="AC23" s="16">
        <v>697514</v>
      </c>
      <c r="AD23" s="16">
        <v>10974025</v>
      </c>
      <c r="AE23" s="15">
        <v>51147979</v>
      </c>
      <c r="AF23" s="15">
        <v>29300515</v>
      </c>
      <c r="AG23" s="15">
        <v>6146908</v>
      </c>
      <c r="AH23" s="15">
        <v>-491875</v>
      </c>
      <c r="AI23" s="15">
        <v>-498205</v>
      </c>
      <c r="AJ23" s="15">
        <v>22953468</v>
      </c>
      <c r="AK23" s="15">
        <v>34043361</v>
      </c>
      <c r="AL23" s="15">
        <v>0</v>
      </c>
      <c r="AM23" s="15">
        <v>14313986</v>
      </c>
      <c r="AN23" s="15">
        <v>57070662</v>
      </c>
      <c r="AO23" s="15">
        <v>43045942</v>
      </c>
      <c r="AP23" s="15">
        <v>18055491</v>
      </c>
      <c r="AQ23" s="15">
        <v>166529442</v>
      </c>
      <c r="AR23" s="16">
        <v>62593026</v>
      </c>
      <c r="AS23" s="16">
        <v>0</v>
      </c>
      <c r="AT23" s="17">
        <v>0.37161405304485501</v>
      </c>
      <c r="AU23" s="17">
        <v>0.48920402785011902</v>
      </c>
      <c r="AV23" s="17">
        <v>0.14802838492979001</v>
      </c>
      <c r="AW23" s="17">
        <v>0.139181919105025</v>
      </c>
      <c r="AX23" s="17">
        <v>8.8464658247655106E-3</v>
      </c>
      <c r="AY23" s="17">
        <f t="shared" si="1"/>
        <v>2.8975934981895157E-2</v>
      </c>
    </row>
    <row r="24" spans="1:55" ht="15.6" x14ac:dyDescent="0.3">
      <c r="A24" s="14" t="s">
        <v>83</v>
      </c>
      <c r="B24" s="16"/>
      <c r="C24" s="16">
        <v>33365739</v>
      </c>
      <c r="D24" s="16">
        <v>55441023</v>
      </c>
      <c r="E24" s="16"/>
      <c r="F24" s="16"/>
      <c r="G24" s="16"/>
      <c r="H24" s="16">
        <v>14513024</v>
      </c>
      <c r="I24" s="16"/>
      <c r="J24" s="16">
        <v>1468720</v>
      </c>
      <c r="K24" s="16">
        <v>554700</v>
      </c>
      <c r="L24" s="16">
        <v>4894247</v>
      </c>
      <c r="M24" s="16"/>
      <c r="N24" s="16">
        <v>2332575</v>
      </c>
      <c r="O24" s="16"/>
      <c r="P24" s="16">
        <v>10406212</v>
      </c>
      <c r="Q24" s="16">
        <v>12014216</v>
      </c>
      <c r="R24" s="16"/>
      <c r="S24" s="16"/>
      <c r="T24" s="16"/>
      <c r="U24" s="16"/>
      <c r="V24" s="16"/>
      <c r="W24" s="16"/>
      <c r="X24" s="16"/>
      <c r="Y24" s="16">
        <v>134990456</v>
      </c>
      <c r="Z24" s="16">
        <v>77771661</v>
      </c>
      <c r="AA24" s="16">
        <v>57218795</v>
      </c>
      <c r="AB24" s="16">
        <v>59679060</v>
      </c>
      <c r="AC24" s="16">
        <v>40569377</v>
      </c>
      <c r="AD24" s="16">
        <v>18092601</v>
      </c>
      <c r="AE24" s="15">
        <v>77771661</v>
      </c>
      <c r="AF24" s="15">
        <v>45020780</v>
      </c>
      <c r="AG24" s="15">
        <v>25235181</v>
      </c>
      <c r="AH24" s="15">
        <v>0</v>
      </c>
      <c r="AI24" s="15">
        <v>-40569377</v>
      </c>
      <c r="AJ24" s="15">
        <v>20256497</v>
      </c>
      <c r="AK24" s="15">
        <v>33897424</v>
      </c>
      <c r="AL24" s="15">
        <v>7198455</v>
      </c>
      <c r="AM24" s="15">
        <v>59194730</v>
      </c>
      <c r="AN24" s="15">
        <v>221240942</v>
      </c>
      <c r="AO24" s="15">
        <v>21185444</v>
      </c>
      <c r="AP24" s="15">
        <v>6290630</v>
      </c>
      <c r="AQ24" s="15">
        <v>349172077</v>
      </c>
      <c r="AR24" s="16">
        <v>124608167</v>
      </c>
      <c r="AS24" s="16">
        <v>5278819</v>
      </c>
      <c r="AT24" s="17">
        <v>0.681614177329257</v>
      </c>
      <c r="AU24" s="17">
        <v>4.4464017087598701E-2</v>
      </c>
      <c r="AV24" s="17">
        <v>0.88814178419336498</v>
      </c>
      <c r="AW24" s="17">
        <v>0.273921805583144</v>
      </c>
      <c r="AX24" s="17">
        <v>0.61421997861022104</v>
      </c>
      <c r="AY24" s="17">
        <f t="shared" si="1"/>
        <v>4.0341164973262331E-2</v>
      </c>
    </row>
    <row r="25" spans="1:55" ht="15.6" x14ac:dyDescent="0.3">
      <c r="A25" s="14" t="s">
        <v>73</v>
      </c>
      <c r="B25" s="16">
        <v>1888412</v>
      </c>
      <c r="C25" s="16">
        <v>19133324</v>
      </c>
      <c r="D25" s="16">
        <v>16874299</v>
      </c>
      <c r="E25" s="16">
        <v>22285568</v>
      </c>
      <c r="F25" s="16">
        <v>606509</v>
      </c>
      <c r="G25" s="16">
        <v>2437358</v>
      </c>
      <c r="H25" s="16">
        <v>1079762</v>
      </c>
      <c r="I25" s="16">
        <v>2482323</v>
      </c>
      <c r="J25" s="16">
        <v>2509761</v>
      </c>
      <c r="K25" s="16">
        <v>626589</v>
      </c>
      <c r="L25" s="16">
        <v>94268</v>
      </c>
      <c r="M25" s="16">
        <v>1943138</v>
      </c>
      <c r="N25" s="16">
        <v>544899</v>
      </c>
      <c r="O25" s="16">
        <v>77655</v>
      </c>
      <c r="P25" s="16">
        <v>422822</v>
      </c>
      <c r="Q25" s="16">
        <v>213994</v>
      </c>
      <c r="R25" s="16">
        <v>1856756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75077437</v>
      </c>
      <c r="Z25" s="16">
        <v>14524305</v>
      </c>
      <c r="AA25" s="16">
        <v>60553132</v>
      </c>
      <c r="AB25" s="16">
        <v>8272265</v>
      </c>
      <c r="AC25" s="16">
        <v>38188451</v>
      </c>
      <c r="AD25" s="16">
        <v>6252040</v>
      </c>
      <c r="AE25" s="15">
        <v>14524305</v>
      </c>
      <c r="AF25" s="15">
        <v>37826613</v>
      </c>
      <c r="AG25" s="15">
        <v>6207289</v>
      </c>
      <c r="AH25" s="15">
        <v>0</v>
      </c>
      <c r="AI25" s="15">
        <v>-38188451</v>
      </c>
      <c r="AJ25" s="15">
        <v>4091816</v>
      </c>
      <c r="AK25" s="15">
        <v>2992020</v>
      </c>
      <c r="AL25" s="15">
        <v>0</v>
      </c>
      <c r="AM25" s="15">
        <v>21290257</v>
      </c>
      <c r="AN25" s="15">
        <v>69348631</v>
      </c>
      <c r="AO25" s="15">
        <v>32438564</v>
      </c>
      <c r="AP25" s="15">
        <v>3972245</v>
      </c>
      <c r="AQ25" s="15">
        <v>130041717</v>
      </c>
      <c r="AR25" s="16">
        <v>38708129</v>
      </c>
      <c r="AS25" s="16">
        <v>0</v>
      </c>
      <c r="AT25" s="17">
        <v>0.73963668014452399</v>
      </c>
      <c r="AU25" s="17">
        <v>0.13811504693368901</v>
      </c>
      <c r="AV25" s="17">
        <v>0.86896009503236804</v>
      </c>
      <c r="AW25" s="17">
        <v>0.122248272921785</v>
      </c>
      <c r="AX25" s="17">
        <v>0.74671182211058196</v>
      </c>
      <c r="AY25" s="17">
        <f t="shared" si="1"/>
        <v>2.2436484485886244E-2</v>
      </c>
    </row>
    <row r="26" spans="1:55" ht="15.6" x14ac:dyDescent="0.3">
      <c r="A26" s="14" t="s">
        <v>74</v>
      </c>
      <c r="B26" s="16">
        <v>2181692</v>
      </c>
      <c r="C26" s="16">
        <v>106407984</v>
      </c>
      <c r="D26" s="16">
        <v>76635225</v>
      </c>
      <c r="E26" s="16">
        <v>30600247</v>
      </c>
      <c r="F26" s="16">
        <v>479221</v>
      </c>
      <c r="G26" s="16">
        <v>0</v>
      </c>
      <c r="H26" s="16">
        <v>6796845</v>
      </c>
      <c r="I26" s="16">
        <v>951826</v>
      </c>
      <c r="J26" s="16">
        <v>813948</v>
      </c>
      <c r="K26" s="16">
        <v>2504154</v>
      </c>
      <c r="L26" s="16">
        <v>3987764</v>
      </c>
      <c r="M26" s="16">
        <v>11153006</v>
      </c>
      <c r="N26" s="16">
        <v>2569781</v>
      </c>
      <c r="O26" s="16">
        <v>5132850</v>
      </c>
      <c r="P26" s="16">
        <v>45546279</v>
      </c>
      <c r="Q26" s="16">
        <v>974195</v>
      </c>
      <c r="R26" s="16">
        <v>4107787</v>
      </c>
      <c r="S26" s="16">
        <v>14742709</v>
      </c>
      <c r="T26" s="16"/>
      <c r="U26" s="16"/>
      <c r="V26" s="16"/>
      <c r="W26" s="16"/>
      <c r="X26" s="16"/>
      <c r="Y26" s="16">
        <v>315585513</v>
      </c>
      <c r="Z26" s="16">
        <v>99702328</v>
      </c>
      <c r="AA26" s="16">
        <v>215883185</v>
      </c>
      <c r="AB26" s="16">
        <v>56450168</v>
      </c>
      <c r="AC26" s="16">
        <v>116482827</v>
      </c>
      <c r="AD26" s="16">
        <v>43252160</v>
      </c>
      <c r="AE26" s="15">
        <v>99702328</v>
      </c>
      <c r="AF26" s="15">
        <v>131343968</v>
      </c>
      <c r="AG26" s="15">
        <v>15770419</v>
      </c>
      <c r="AH26" s="15">
        <v>0</v>
      </c>
      <c r="AI26" s="15">
        <v>-109149247</v>
      </c>
      <c r="AJ26" s="15">
        <v>26575597</v>
      </c>
      <c r="AK26" s="15">
        <v>153951213</v>
      </c>
      <c r="AL26" s="15">
        <v>0</v>
      </c>
      <c r="AM26" s="15">
        <v>16589928</v>
      </c>
      <c r="AN26" s="15">
        <v>617318167</v>
      </c>
      <c r="AO26" s="15">
        <v>17936300</v>
      </c>
      <c r="AP26" s="15">
        <v>149139676</v>
      </c>
      <c r="AQ26" s="15">
        <v>954951622</v>
      </c>
      <c r="AR26" s="16">
        <v>173817181</v>
      </c>
      <c r="AS26" s="16">
        <v>0</v>
      </c>
      <c r="AT26" s="17">
        <v>0.59377749836529603</v>
      </c>
      <c r="AU26" s="17">
        <v>0.210688898114399</v>
      </c>
      <c r="AV26" s="17">
        <v>0.72212711726718304</v>
      </c>
      <c r="AW26" s="17">
        <v>0.19553360352030399</v>
      </c>
      <c r="AX26" s="17">
        <v>0.52659351374687802</v>
      </c>
      <c r="AY26" s="17">
        <f t="shared" si="1"/>
        <v>9.4311017388552451E-2</v>
      </c>
    </row>
    <row r="27" spans="1:55" ht="15.6" x14ac:dyDescent="0.3">
      <c r="A27" s="14" t="s">
        <v>75</v>
      </c>
      <c r="B27" s="16">
        <v>1112793</v>
      </c>
      <c r="C27" s="16">
        <v>127144650</v>
      </c>
      <c r="D27" s="16">
        <v>74144516</v>
      </c>
      <c r="E27" s="16">
        <v>28465841</v>
      </c>
      <c r="F27" s="16">
        <v>236121</v>
      </c>
      <c r="G27" s="16">
        <v>0</v>
      </c>
      <c r="H27" s="16">
        <v>11546857</v>
      </c>
      <c r="I27" s="16">
        <v>1674332</v>
      </c>
      <c r="J27" s="16">
        <v>4022626</v>
      </c>
      <c r="K27" s="16">
        <v>5192410</v>
      </c>
      <c r="L27" s="16">
        <v>7560415</v>
      </c>
      <c r="M27" s="16">
        <v>6417669</v>
      </c>
      <c r="N27" s="16">
        <v>45127853</v>
      </c>
      <c r="O27" s="16">
        <v>13230855</v>
      </c>
      <c r="P27" s="16">
        <v>14338034</v>
      </c>
      <c r="Q27" s="16">
        <v>3080461</v>
      </c>
      <c r="R27" s="16">
        <v>363529</v>
      </c>
      <c r="S27" s="16">
        <v>1620940</v>
      </c>
      <c r="T27" s="16"/>
      <c r="U27" s="16"/>
      <c r="V27" s="16"/>
      <c r="W27" s="16"/>
      <c r="X27" s="16"/>
      <c r="Y27" s="16">
        <v>345279902</v>
      </c>
      <c r="Z27" s="16">
        <v>100184142</v>
      </c>
      <c r="AA27" s="16">
        <v>245095760</v>
      </c>
      <c r="AB27" s="16">
        <v>100184142</v>
      </c>
      <c r="AC27" s="16">
        <v>68844474</v>
      </c>
      <c r="AD27" s="16">
        <v>0</v>
      </c>
      <c r="AE27" s="15">
        <v>100184142</v>
      </c>
      <c r="AF27" s="15">
        <v>224789955</v>
      </c>
      <c r="AG27" s="15">
        <v>16469394</v>
      </c>
      <c r="AH27" s="15">
        <v>-2963270</v>
      </c>
      <c r="AI27" s="15">
        <v>-68844474</v>
      </c>
      <c r="AJ27" s="15">
        <v>169451605</v>
      </c>
      <c r="AK27" s="15">
        <v>3933461</v>
      </c>
      <c r="AL27" s="15">
        <v>6660983</v>
      </c>
      <c r="AM27" s="15">
        <v>4385979</v>
      </c>
      <c r="AN27" s="15">
        <v>838150893</v>
      </c>
      <c r="AO27" s="15">
        <v>8921114</v>
      </c>
      <c r="AP27" s="15">
        <v>2990513</v>
      </c>
      <c r="AQ27" s="15">
        <v>865479932</v>
      </c>
      <c r="AR27" s="16">
        <v>132214892</v>
      </c>
      <c r="AS27" s="16">
        <v>64637632</v>
      </c>
      <c r="AT27" s="17">
        <v>0.76648285759160195</v>
      </c>
      <c r="AU27" s="17">
        <v>0.23351714240839699</v>
      </c>
      <c r="AV27" s="17">
        <v>0.23474407101914599</v>
      </c>
      <c r="AW27" s="17">
        <v>0</v>
      </c>
      <c r="AX27" s="17">
        <v>0.23474407101914599</v>
      </c>
      <c r="AY27" s="17">
        <f t="shared" si="1"/>
        <v>0.10318502434374954</v>
      </c>
    </row>
    <row r="28" spans="1:55" ht="15.6" x14ac:dyDescent="0.3">
      <c r="A28" s="14" t="s">
        <v>76</v>
      </c>
      <c r="B28" s="16">
        <v>15305912</v>
      </c>
      <c r="C28" s="16"/>
      <c r="D28" s="16">
        <v>61396747</v>
      </c>
      <c r="E28" s="16"/>
      <c r="F28" s="16"/>
      <c r="G28" s="16"/>
      <c r="H28" s="16">
        <v>5216540</v>
      </c>
      <c r="I28" s="16"/>
      <c r="J28" s="16"/>
      <c r="K28" s="16"/>
      <c r="L28" s="16"/>
      <c r="M28" s="16"/>
      <c r="N28" s="16">
        <v>3096191</v>
      </c>
      <c r="O28" s="16"/>
      <c r="P28" s="16">
        <v>1484606</v>
      </c>
      <c r="Q28" s="16">
        <v>563280</v>
      </c>
      <c r="R28" s="16"/>
      <c r="S28" s="16"/>
      <c r="T28" s="16"/>
      <c r="U28" s="16"/>
      <c r="V28" s="16"/>
      <c r="W28" s="16"/>
      <c r="X28" s="16"/>
      <c r="Y28" s="16">
        <v>87063276</v>
      </c>
      <c r="Z28" s="16">
        <v>52694878.600000001</v>
      </c>
      <c r="AA28" s="16">
        <v>34368397.399999902</v>
      </c>
      <c r="AB28" s="16">
        <v>11430427</v>
      </c>
      <c r="AC28" s="16">
        <v>7948133</v>
      </c>
      <c r="AD28" s="16">
        <v>41264451.599999897</v>
      </c>
      <c r="AE28" s="15">
        <v>52694878.599999897</v>
      </c>
      <c r="AF28" s="15">
        <v>17866305.999999899</v>
      </c>
      <c r="AG28" s="15">
        <v>16217084</v>
      </c>
      <c r="AH28" s="15">
        <v>0</v>
      </c>
      <c r="AI28" s="15">
        <v>-7556123</v>
      </c>
      <c r="AJ28" s="15">
        <v>17682239.999999899</v>
      </c>
      <c r="AK28" s="15">
        <v>14307398</v>
      </c>
      <c r="AL28" s="15">
        <v>0</v>
      </c>
      <c r="AM28" s="15">
        <v>22157488</v>
      </c>
      <c r="AN28" s="15">
        <v>133788903</v>
      </c>
      <c r="AO28" s="15">
        <v>10546861</v>
      </c>
      <c r="AP28" s="15">
        <v>15296650</v>
      </c>
      <c r="AQ28" s="15">
        <v>196097300</v>
      </c>
      <c r="AR28" s="16">
        <v>84485495</v>
      </c>
      <c r="AS28" s="16">
        <v>0</v>
      </c>
      <c r="AT28" s="17">
        <v>0.25992326977104802</v>
      </c>
      <c r="AU28" s="17">
        <v>0.13975167225775001</v>
      </c>
      <c r="AV28" s="17">
        <v>0.71595638757762003</v>
      </c>
      <c r="AW28" s="17">
        <v>0.60032505797119895</v>
      </c>
      <c r="AX28" s="17">
        <v>0.115631329606421</v>
      </c>
      <c r="AY28" s="17">
        <f t="shared" si="1"/>
        <v>2.6018387405319018E-2</v>
      </c>
    </row>
    <row r="29" spans="1:55" ht="15.6" x14ac:dyDescent="0.3">
      <c r="A29" s="14" t="s">
        <v>77</v>
      </c>
      <c r="B29" s="16">
        <v>467525</v>
      </c>
      <c r="C29" s="16">
        <v>3179374</v>
      </c>
      <c r="D29" s="16">
        <v>26398117</v>
      </c>
      <c r="E29" s="16">
        <v>2852658</v>
      </c>
      <c r="F29" s="16">
        <v>5107</v>
      </c>
      <c r="G29" s="16">
        <v>5844776</v>
      </c>
      <c r="H29" s="16">
        <v>1200883</v>
      </c>
      <c r="I29" s="16">
        <v>0</v>
      </c>
      <c r="J29" s="16">
        <v>1032275</v>
      </c>
      <c r="K29" s="16">
        <v>60136</v>
      </c>
      <c r="L29" s="16">
        <v>348334</v>
      </c>
      <c r="M29" s="16">
        <v>0</v>
      </c>
      <c r="N29" s="16">
        <v>183714</v>
      </c>
      <c r="O29" s="16">
        <v>0</v>
      </c>
      <c r="P29" s="16">
        <v>545412</v>
      </c>
      <c r="Q29" s="16">
        <v>518186</v>
      </c>
      <c r="R29" s="16">
        <v>89735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42726232</v>
      </c>
      <c r="Z29" s="16">
        <v>29793126</v>
      </c>
      <c r="AA29" s="16">
        <v>12933106</v>
      </c>
      <c r="AB29" s="16">
        <v>12770448</v>
      </c>
      <c r="AC29" s="16">
        <v>9081716</v>
      </c>
      <c r="AD29" s="16">
        <v>17022678</v>
      </c>
      <c r="AE29" s="15">
        <v>29793126</v>
      </c>
      <c r="AF29" s="15">
        <v>15302630</v>
      </c>
      <c r="AG29" s="15">
        <v>13716887</v>
      </c>
      <c r="AH29" s="15">
        <v>-4083737</v>
      </c>
      <c r="AI29" s="15">
        <v>-8448637</v>
      </c>
      <c r="AJ29" s="15">
        <v>11541000</v>
      </c>
      <c r="AK29" s="15">
        <v>2925424</v>
      </c>
      <c r="AL29" s="15">
        <v>662811</v>
      </c>
      <c r="AM29" s="15">
        <v>14770483</v>
      </c>
      <c r="AN29" s="15">
        <v>81097006</v>
      </c>
      <c r="AO29" s="15">
        <v>21603509</v>
      </c>
      <c r="AP29" s="15">
        <v>5604359</v>
      </c>
      <c r="AQ29" s="15">
        <v>126958532</v>
      </c>
      <c r="AR29" s="16">
        <v>31312313</v>
      </c>
      <c r="AS29" s="16">
        <v>0</v>
      </c>
      <c r="AT29" s="17">
        <v>0.39029489643736198</v>
      </c>
      <c r="AU29" s="17">
        <v>0.17554023470698399</v>
      </c>
      <c r="AV29" s="17">
        <v>0.66579481780518202</v>
      </c>
      <c r="AW29" s="17">
        <v>0.43416486885565198</v>
      </c>
      <c r="AX29" s="17">
        <v>0.23162994894952901</v>
      </c>
      <c r="AY29" s="17">
        <f t="shared" si="1"/>
        <v>1.276850249174564E-2</v>
      </c>
    </row>
    <row r="30" spans="1:55" ht="15.6" x14ac:dyDescent="0.3">
      <c r="A30" s="14" t="s">
        <v>78</v>
      </c>
      <c r="B30" s="16">
        <v>3864918</v>
      </c>
      <c r="C30" s="16">
        <v>25393001</v>
      </c>
      <c r="D30" s="16">
        <v>129728237</v>
      </c>
      <c r="E30" s="16">
        <v>27428736</v>
      </c>
      <c r="F30" s="16">
        <v>348321</v>
      </c>
      <c r="G30" s="16">
        <v>0</v>
      </c>
      <c r="H30" s="16">
        <v>4016662</v>
      </c>
      <c r="I30" s="16">
        <v>757137</v>
      </c>
      <c r="J30" s="16">
        <v>3111486</v>
      </c>
      <c r="K30" s="16">
        <v>2740738</v>
      </c>
      <c r="L30" s="16">
        <v>24113</v>
      </c>
      <c r="M30" s="16">
        <v>14258369</v>
      </c>
      <c r="N30" s="16">
        <v>1414448</v>
      </c>
      <c r="O30" s="16">
        <v>10213015</v>
      </c>
      <c r="P30" s="16">
        <v>5931384</v>
      </c>
      <c r="Q30" s="16">
        <v>2809230</v>
      </c>
      <c r="R30" s="16">
        <v>33830</v>
      </c>
      <c r="S30" s="16">
        <v>0</v>
      </c>
      <c r="T30" s="16"/>
      <c r="U30" s="16"/>
      <c r="V30" s="16"/>
      <c r="W30" s="16">
        <v>16695</v>
      </c>
      <c r="X30" s="16"/>
      <c r="Y30" s="16">
        <v>232090320</v>
      </c>
      <c r="Z30" s="16">
        <v>114467883</v>
      </c>
      <c r="AA30" s="16">
        <v>117622437</v>
      </c>
      <c r="AB30" s="16">
        <v>74223629</v>
      </c>
      <c r="AC30" s="16">
        <v>64652709</v>
      </c>
      <c r="AD30" s="16">
        <v>40244254</v>
      </c>
      <c r="AE30" s="15">
        <v>114467883</v>
      </c>
      <c r="AF30" s="15">
        <v>96409009</v>
      </c>
      <c r="AG30" s="15">
        <v>7604251</v>
      </c>
      <c r="AH30" s="15">
        <v>0</v>
      </c>
      <c r="AI30" s="15">
        <v>-62063647</v>
      </c>
      <c r="AJ30" s="15">
        <v>38799613</v>
      </c>
      <c r="AK30" s="15">
        <v>72539332</v>
      </c>
      <c r="AL30" s="15">
        <v>0</v>
      </c>
      <c r="AM30" s="15">
        <v>42669064</v>
      </c>
      <c r="AN30" s="15">
        <v>168507500</v>
      </c>
      <c r="AO30" s="15">
        <v>84212325</v>
      </c>
      <c r="AP30" s="15">
        <v>15139347</v>
      </c>
      <c r="AQ30" s="15">
        <v>383067568</v>
      </c>
      <c r="AR30" s="16">
        <v>108694840</v>
      </c>
      <c r="AS30" s="16">
        <v>0</v>
      </c>
      <c r="AT30" s="17">
        <v>0.51092455475124998</v>
      </c>
      <c r="AU30" s="17">
        <v>0.27579892918948501</v>
      </c>
      <c r="AV30" s="17">
        <v>0.55590690819706901</v>
      </c>
      <c r="AW30" s="17">
        <v>0.21327651605926401</v>
      </c>
      <c r="AX30" s="17">
        <v>0.342630392137805</v>
      </c>
      <c r="AY30" s="17">
        <f t="shared" si="1"/>
        <v>6.9358932218269165E-2</v>
      </c>
    </row>
    <row r="31" spans="1:55" ht="15.6" x14ac:dyDescent="0.3">
      <c r="A31" s="19" t="s">
        <v>79</v>
      </c>
      <c r="B31" s="28">
        <f t="shared" ref="B31:AQ31" si="2">SUM(B6:B30)</f>
        <v>41903836.229999997</v>
      </c>
      <c r="C31" s="28">
        <f t="shared" si="2"/>
        <v>939811644.79999995</v>
      </c>
      <c r="D31" s="28">
        <f t="shared" si="2"/>
        <v>1006759192.13</v>
      </c>
      <c r="E31" s="28">
        <f t="shared" si="2"/>
        <v>315159904.88999999</v>
      </c>
      <c r="F31" s="28">
        <f t="shared" si="2"/>
        <v>5911746.5600000005</v>
      </c>
      <c r="G31" s="28">
        <f t="shared" si="2"/>
        <v>74654080</v>
      </c>
      <c r="H31" s="28">
        <f t="shared" si="2"/>
        <v>102004459.59</v>
      </c>
      <c r="I31" s="28">
        <f t="shared" si="2"/>
        <v>12955623.800000001</v>
      </c>
      <c r="J31" s="28">
        <f t="shared" si="2"/>
        <v>16276998.810000001</v>
      </c>
      <c r="K31" s="28">
        <f t="shared" si="2"/>
        <v>36047409.739999995</v>
      </c>
      <c r="L31" s="28">
        <f t="shared" si="2"/>
        <v>29661622.149999999</v>
      </c>
      <c r="M31" s="28">
        <f t="shared" si="2"/>
        <v>146469006.59999999</v>
      </c>
      <c r="N31" s="28">
        <f t="shared" si="2"/>
        <v>141267568.03999999</v>
      </c>
      <c r="O31" s="28">
        <f t="shared" si="2"/>
        <v>105373533.66</v>
      </c>
      <c r="P31" s="28">
        <f t="shared" si="2"/>
        <v>208060394.34999999</v>
      </c>
      <c r="Q31" s="28">
        <f t="shared" si="2"/>
        <v>96900347.420000002</v>
      </c>
      <c r="R31" s="28">
        <f t="shared" si="2"/>
        <v>38596650.299999997</v>
      </c>
      <c r="S31" s="28">
        <f t="shared" si="2"/>
        <v>28243638.379999999</v>
      </c>
      <c r="T31" s="28">
        <f t="shared" si="2"/>
        <v>0</v>
      </c>
      <c r="U31" s="28">
        <f t="shared" si="2"/>
        <v>146712</v>
      </c>
      <c r="V31" s="28">
        <f t="shared" si="2"/>
        <v>0</v>
      </c>
      <c r="W31" s="28">
        <f t="shared" si="2"/>
        <v>16695</v>
      </c>
      <c r="X31" s="28">
        <f t="shared" si="2"/>
        <v>0</v>
      </c>
      <c r="Y31" s="28">
        <f t="shared" si="2"/>
        <v>3346221064.5</v>
      </c>
      <c r="Z31" s="25">
        <f t="shared" si="2"/>
        <v>1936616701</v>
      </c>
      <c r="AA31" s="25">
        <f t="shared" si="2"/>
        <v>1409604363.4099996</v>
      </c>
      <c r="AB31" s="25">
        <f t="shared" si="2"/>
        <v>1373487881.6865542</v>
      </c>
      <c r="AC31" s="25">
        <f t="shared" si="2"/>
        <v>741901635.57999992</v>
      </c>
      <c r="AD31" s="25">
        <f t="shared" si="2"/>
        <v>563128819.38344574</v>
      </c>
      <c r="AE31" s="25">
        <f t="shared" si="2"/>
        <v>1936616701.0699999</v>
      </c>
      <c r="AF31" s="25">
        <f t="shared" si="2"/>
        <v>1076341584.6499999</v>
      </c>
      <c r="AG31" s="25">
        <f t="shared" si="2"/>
        <v>290438432.74429703</v>
      </c>
      <c r="AH31" s="25">
        <f t="shared" si="2"/>
        <v>-15236024.199999999</v>
      </c>
      <c r="AI31" s="25">
        <f t="shared" si="2"/>
        <v>-655578388.06999993</v>
      </c>
      <c r="AJ31" s="25">
        <f t="shared" si="2"/>
        <v>576393460.12429678</v>
      </c>
      <c r="AK31" s="25">
        <f t="shared" si="2"/>
        <v>731784825.78999996</v>
      </c>
      <c r="AL31" s="25">
        <f t="shared" si="2"/>
        <v>16252351</v>
      </c>
      <c r="AM31" s="25">
        <f t="shared" si="2"/>
        <v>1257219988.0999999</v>
      </c>
      <c r="AN31" s="25">
        <f t="shared" si="2"/>
        <v>3872411860.3299999</v>
      </c>
      <c r="AO31" s="25">
        <f t="shared" si="2"/>
        <v>610669632.66686833</v>
      </c>
      <c r="AP31" s="25">
        <f t="shared" si="2"/>
        <v>543102040.46000004</v>
      </c>
      <c r="AQ31" s="25">
        <f t="shared" si="2"/>
        <v>7045005613.8199997</v>
      </c>
      <c r="AR31" s="26">
        <f>SUM(AR6:AR30)</f>
        <v>2597151707.9000001</v>
      </c>
      <c r="AS31" s="26">
        <f>SUM(AS6:AS30)</f>
        <v>134881097</v>
      </c>
      <c r="AT31" s="27">
        <f>AVERAGE(AT6:AT30)</f>
        <v>0.45236272213845313</v>
      </c>
      <c r="AU31" s="27">
        <f>AVERAGE(AU6:AU30)</f>
        <v>0.28880687015781265</v>
      </c>
      <c r="AV31" s="27">
        <f>AVERAGE(AV6:AV30)</f>
        <v>0.69618477138646906</v>
      </c>
      <c r="AW31" s="27">
        <f>AVERAGE(AW6:AW30)</f>
        <v>0.28348092267556257</v>
      </c>
      <c r="AX31" s="27">
        <f>AVERAGE(AX6:AX30)</f>
        <v>0.43735436372617281</v>
      </c>
      <c r="AY31" s="27">
        <f>SUM(AY6:AY30)</f>
        <v>0.99999999999999989</v>
      </c>
    </row>
  </sheetData>
  <mergeCells count="1">
    <mergeCell ref="Z1:AY1"/>
  </mergeCells>
  <dataValidations count="1">
    <dataValidation type="list" allowBlank="1" showInputMessage="1" showErrorMessage="1" sqref="A3" xr:uid="{2A0DD355-2FD7-4AD2-AA54-0511F4113DB9}">
      <formula1>$A$6:$A$30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C0B4-1E92-4871-98A7-EAC393694869}">
  <dimension ref="A1:BD31"/>
  <sheetViews>
    <sheetView topLeftCell="AS1" workbookViewId="0">
      <selection activeCell="AB38" sqref="AB38"/>
    </sheetView>
  </sheetViews>
  <sheetFormatPr defaultRowHeight="13.2" x14ac:dyDescent="0.25"/>
  <cols>
    <col min="1" max="1" width="50.77734375" bestFit="1" customWidth="1"/>
    <col min="2" max="2" width="33.44140625" bestFit="1" customWidth="1"/>
    <col min="3" max="3" width="37.21875" bestFit="1" customWidth="1"/>
    <col min="4" max="4" width="21.77734375" bestFit="1" customWidth="1"/>
    <col min="5" max="5" width="17.77734375" bestFit="1" customWidth="1"/>
    <col min="6" max="6" width="30.21875" bestFit="1" customWidth="1"/>
    <col min="7" max="7" width="15.77734375" bestFit="1" customWidth="1"/>
    <col min="8" max="8" width="23.77734375" bestFit="1" customWidth="1"/>
    <col min="9" max="9" width="31.5546875" bestFit="1" customWidth="1"/>
    <col min="10" max="11" width="50.77734375" customWidth="1"/>
    <col min="12" max="12" width="18" bestFit="1" customWidth="1"/>
    <col min="13" max="13" width="16.21875" bestFit="1" customWidth="1"/>
    <col min="14" max="14" width="15.21875" bestFit="1" customWidth="1"/>
    <col min="15" max="15" width="19.44140625" bestFit="1" customWidth="1"/>
    <col min="16" max="16" width="15.21875" bestFit="1" customWidth="1"/>
    <col min="17" max="18" width="14.44140625" bestFit="1" customWidth="1"/>
    <col min="19" max="19" width="13.21875" bestFit="1" customWidth="1"/>
    <col min="20" max="20" width="25.44140625" bestFit="1" customWidth="1"/>
    <col min="21" max="21" width="21.77734375" bestFit="1" customWidth="1"/>
    <col min="22" max="22" width="25" bestFit="1" customWidth="1"/>
    <col min="23" max="23" width="13" bestFit="1" customWidth="1"/>
    <col min="24" max="24" width="23" bestFit="1" customWidth="1"/>
    <col min="25" max="25" width="27" bestFit="1" customWidth="1"/>
    <col min="26" max="27" width="20" bestFit="1" customWidth="1"/>
    <col min="28" max="28" width="17.77734375" customWidth="1"/>
    <col min="29" max="29" width="17.77734375" bestFit="1" customWidth="1"/>
    <col min="30" max="31" width="17.77734375" customWidth="1"/>
    <col min="32" max="32" width="16.21875" bestFit="1" customWidth="1"/>
    <col min="33" max="33" width="17.77734375" bestFit="1" customWidth="1"/>
    <col min="34" max="34" width="17" customWidth="1"/>
    <col min="35" max="37" width="17.77734375" bestFit="1" customWidth="1"/>
    <col min="38" max="39" width="20" bestFit="1" customWidth="1"/>
    <col min="40" max="40" width="14" bestFit="1" customWidth="1"/>
    <col min="41" max="42" width="13.77734375" bestFit="1" customWidth="1"/>
    <col min="43" max="43" width="17.77734375" bestFit="1" customWidth="1"/>
    <col min="44" max="44" width="17.77734375" customWidth="1"/>
    <col min="45" max="45" width="18.21875" customWidth="1"/>
    <col min="46" max="46" width="18.77734375" bestFit="1" customWidth="1"/>
    <col min="47" max="47" width="18.77734375" customWidth="1"/>
    <col min="48" max="51" width="13" customWidth="1"/>
    <col min="52" max="52" width="9.21875" bestFit="1" customWidth="1"/>
    <col min="53" max="53" width="11.21875" bestFit="1" customWidth="1"/>
  </cols>
  <sheetData>
    <row r="1" spans="1:53" ht="23.4" x14ac:dyDescent="0.45">
      <c r="A1" s="1" t="s">
        <v>84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53.4" x14ac:dyDescent="0.3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4" t="s">
        <v>85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86</v>
      </c>
    </row>
    <row r="3" spans="1:53" ht="15.6" x14ac:dyDescent="0.3">
      <c r="A3" s="7" t="s">
        <v>52</v>
      </c>
      <c r="B3" s="8">
        <f t="shared" ref="B3:BA3" si="0">INDEX(B6:B30,MATCH($A$3,$A$6:$A$30,0))</f>
        <v>1127964</v>
      </c>
      <c r="C3" s="8">
        <f t="shared" si="0"/>
        <v>9870704</v>
      </c>
      <c r="D3" s="8">
        <f t="shared" si="0"/>
        <v>33932554</v>
      </c>
      <c r="E3" s="8">
        <f t="shared" si="0"/>
        <v>31523946</v>
      </c>
      <c r="F3" s="8">
        <f t="shared" si="0"/>
        <v>0</v>
      </c>
      <c r="G3" s="8">
        <f t="shared" si="0"/>
        <v>0</v>
      </c>
      <c r="H3" s="8">
        <f t="shared" si="0"/>
        <v>624515</v>
      </c>
      <c r="I3" s="8">
        <f t="shared" si="0"/>
        <v>120085</v>
      </c>
      <c r="J3" s="8">
        <f t="shared" si="0"/>
        <v>0</v>
      </c>
      <c r="K3" s="8">
        <f t="shared" si="0"/>
        <v>2037801</v>
      </c>
      <c r="L3" s="8">
        <f t="shared" si="0"/>
        <v>269298</v>
      </c>
      <c r="M3" s="8">
        <f t="shared" si="0"/>
        <v>1370319</v>
      </c>
      <c r="N3" s="8">
        <f t="shared" si="0"/>
        <v>2014786</v>
      </c>
      <c r="O3" s="8">
        <f t="shared" si="0"/>
        <v>25963</v>
      </c>
      <c r="P3" s="8">
        <f t="shared" si="0"/>
        <v>3876454</v>
      </c>
      <c r="Q3" s="8">
        <f t="shared" si="0"/>
        <v>2075970</v>
      </c>
      <c r="R3" s="8">
        <f t="shared" si="0"/>
        <v>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88870359</v>
      </c>
      <c r="Z3" s="8">
        <f t="shared" si="0"/>
        <v>53101422</v>
      </c>
      <c r="AA3" s="8">
        <f t="shared" si="0"/>
        <v>35768937</v>
      </c>
      <c r="AB3" s="8">
        <f t="shared" si="0"/>
        <v>17932901</v>
      </c>
      <c r="AC3" s="8">
        <f t="shared" si="0"/>
        <v>19276156</v>
      </c>
      <c r="AD3" s="8">
        <f t="shared" si="0"/>
        <v>35168521</v>
      </c>
      <c r="AE3" s="8">
        <f t="shared" si="0"/>
        <v>53101422</v>
      </c>
      <c r="AF3" s="8">
        <f t="shared" si="0"/>
        <v>26726953</v>
      </c>
      <c r="AG3" s="8">
        <f t="shared" si="0"/>
        <v>22678129</v>
      </c>
      <c r="AH3" s="8">
        <f t="shared" si="0"/>
        <v>0</v>
      </c>
      <c r="AI3" s="8">
        <f t="shared" si="0"/>
        <v>-18371621</v>
      </c>
      <c r="AJ3" s="8">
        <f t="shared" si="0"/>
        <v>22709919</v>
      </c>
      <c r="AK3" s="8">
        <f t="shared" si="0"/>
        <v>27592480</v>
      </c>
      <c r="AL3" s="8">
        <f t="shared" si="0"/>
        <v>0</v>
      </c>
      <c r="AM3" s="8">
        <f t="shared" si="0"/>
        <v>7703152</v>
      </c>
      <c r="AN3" s="8">
        <f t="shared" si="0"/>
        <v>63567755</v>
      </c>
      <c r="AO3" s="8">
        <f t="shared" si="0"/>
        <v>16197715</v>
      </c>
      <c r="AP3" s="8">
        <f t="shared" si="0"/>
        <v>10486273</v>
      </c>
      <c r="AQ3" s="8">
        <f t="shared" si="0"/>
        <v>126401537</v>
      </c>
      <c r="AR3" s="8">
        <f t="shared" si="0"/>
        <v>55221180</v>
      </c>
      <c r="AS3" s="8">
        <f t="shared" si="0"/>
        <v>44207885</v>
      </c>
      <c r="AT3" s="8">
        <f t="shared" si="0"/>
        <v>0</v>
      </c>
      <c r="AU3" s="9">
        <f t="shared" si="0"/>
        <v>0.354403096592391</v>
      </c>
      <c r="AV3" s="9">
        <f t="shared" si="0"/>
        <v>0.179257446568868</v>
      </c>
      <c r="AW3" s="9">
        <f t="shared" si="0"/>
        <v>0.72194395379722198</v>
      </c>
      <c r="AX3" s="9">
        <f t="shared" si="0"/>
        <v>0.46633945683874001</v>
      </c>
      <c r="AY3" s="9">
        <f t="shared" si="0"/>
        <v>0.25560449695848197</v>
      </c>
      <c r="AZ3" s="9">
        <f t="shared" si="0"/>
        <v>1.7585934929663101E-2</v>
      </c>
      <c r="BA3" s="9">
        <f t="shared" si="0"/>
        <v>2.1041039503696259E-2</v>
      </c>
    </row>
    <row r="4" spans="1:53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3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2" t="s">
        <v>85</v>
      </c>
      <c r="AS5" s="13" t="s">
        <v>44</v>
      </c>
      <c r="AT5" s="13" t="s">
        <v>45</v>
      </c>
      <c r="AU5" s="13" t="s">
        <v>46</v>
      </c>
      <c r="AV5" s="13" t="s">
        <v>47</v>
      </c>
      <c r="AW5" s="13" t="s">
        <v>48</v>
      </c>
      <c r="AX5" s="13" t="s">
        <v>49</v>
      </c>
      <c r="AY5" s="13" t="s">
        <v>50</v>
      </c>
      <c r="AZ5" s="13" t="s">
        <v>51</v>
      </c>
      <c r="BA5" s="13" t="s">
        <v>86</v>
      </c>
    </row>
    <row r="6" spans="1:53" ht="15.6" x14ac:dyDescent="0.3">
      <c r="A6" s="14" t="s">
        <v>54</v>
      </c>
      <c r="B6" s="16"/>
      <c r="C6" s="16">
        <v>164646243.81</v>
      </c>
      <c r="D6" s="16">
        <v>20967057.850000001</v>
      </c>
      <c r="E6" s="16">
        <v>4868914.37</v>
      </c>
      <c r="F6" s="16">
        <v>0</v>
      </c>
      <c r="G6" s="16"/>
      <c r="H6" s="16">
        <v>16899250.09</v>
      </c>
      <c r="I6" s="16"/>
      <c r="J6" s="16">
        <v>505783.37</v>
      </c>
      <c r="K6" s="16">
        <v>1628748.71</v>
      </c>
      <c r="L6" s="16">
        <v>14360250.789999999</v>
      </c>
      <c r="M6" s="16">
        <v>0</v>
      </c>
      <c r="N6" s="16">
        <v>9176075.5999999996</v>
      </c>
      <c r="O6" s="16">
        <v>0</v>
      </c>
      <c r="P6" s="16">
        <v>1625103.16</v>
      </c>
      <c r="Q6" s="16">
        <v>15612706.15</v>
      </c>
      <c r="R6" s="16">
        <v>0</v>
      </c>
      <c r="S6" s="16">
        <v>125207.55</v>
      </c>
      <c r="T6" s="16"/>
      <c r="U6" s="16"/>
      <c r="V6" s="16"/>
      <c r="W6" s="16"/>
      <c r="X6" s="16"/>
      <c r="Y6" s="16">
        <v>250415341.5</v>
      </c>
      <c r="Z6" s="16">
        <v>226012447.80000001</v>
      </c>
      <c r="AA6" s="16">
        <v>24402893.649999999</v>
      </c>
      <c r="AB6" s="16">
        <v>206410491.12</v>
      </c>
      <c r="AC6" s="16">
        <v>47847746.119999997</v>
      </c>
      <c r="AD6" s="16">
        <v>19601956.68</v>
      </c>
      <c r="AE6" s="15">
        <v>226012447.80000001</v>
      </c>
      <c r="AF6" s="15">
        <v>40356281.439999998</v>
      </c>
      <c r="AG6" s="15">
        <v>8442024.4900000002</v>
      </c>
      <c r="AH6" s="15">
        <v>-1201488.57</v>
      </c>
      <c r="AI6" s="15">
        <v>-40318461</v>
      </c>
      <c r="AJ6" s="15">
        <v>7278356.3600000003</v>
      </c>
      <c r="AK6" s="15">
        <v>83891632.510000005</v>
      </c>
      <c r="AL6" s="15">
        <v>0</v>
      </c>
      <c r="AM6" s="15">
        <v>95556149.75</v>
      </c>
      <c r="AN6" s="15">
        <v>59356339.939999998</v>
      </c>
      <c r="AO6" s="15">
        <v>6236926.29</v>
      </c>
      <c r="AP6" s="15">
        <v>62233537.880000003</v>
      </c>
      <c r="AQ6" s="15">
        <v>307800055.5</v>
      </c>
      <c r="AR6" s="15">
        <v>210916672.40000001</v>
      </c>
      <c r="AS6" s="16">
        <v>154345487.19999999</v>
      </c>
      <c r="AT6" s="16">
        <v>0</v>
      </c>
      <c r="AU6" s="17">
        <v>0.49509021102478001</v>
      </c>
      <c r="AV6" s="17">
        <v>0.26443329925369102</v>
      </c>
      <c r="AW6" s="17">
        <v>0.82747186810209505</v>
      </c>
      <c r="AX6" s="17">
        <v>0.24047648898544799</v>
      </c>
      <c r="AY6" s="17">
        <v>0.58699537911664701</v>
      </c>
      <c r="AZ6" s="17">
        <f>Y6/$Y$31</f>
        <v>4.9552943754940432E-2</v>
      </c>
      <c r="BA6" s="17">
        <f>AF6/$AF$31</f>
        <v>3.1770853639819102E-2</v>
      </c>
    </row>
    <row r="7" spans="1:53" ht="15.6" x14ac:dyDescent="0.3">
      <c r="A7" s="14" t="s">
        <v>56</v>
      </c>
      <c r="B7" s="16">
        <v>64548</v>
      </c>
      <c r="C7" s="16">
        <v>262815</v>
      </c>
      <c r="D7" s="16">
        <v>2217732</v>
      </c>
      <c r="E7" s="16">
        <v>5689346</v>
      </c>
      <c r="F7" s="16">
        <v>20435</v>
      </c>
      <c r="G7" s="16">
        <v>0</v>
      </c>
      <c r="H7" s="16">
        <v>18873</v>
      </c>
      <c r="I7" s="16">
        <v>-5644</v>
      </c>
      <c r="J7" s="16">
        <v>0</v>
      </c>
      <c r="K7" s="16">
        <v>14697</v>
      </c>
      <c r="L7" s="16">
        <v>20316</v>
      </c>
      <c r="M7" s="16">
        <v>30905</v>
      </c>
      <c r="N7" s="16">
        <v>19410</v>
      </c>
      <c r="O7" s="16">
        <v>16352</v>
      </c>
      <c r="P7" s="16">
        <v>375710</v>
      </c>
      <c r="Q7" s="16">
        <v>26044</v>
      </c>
      <c r="R7" s="16"/>
      <c r="S7" s="16"/>
      <c r="T7" s="16"/>
      <c r="U7" s="16"/>
      <c r="V7" s="16"/>
      <c r="W7" s="16"/>
      <c r="X7" s="16"/>
      <c r="Y7" s="16">
        <v>8771539</v>
      </c>
      <c r="Z7" s="16">
        <v>6352042</v>
      </c>
      <c r="AA7" s="16">
        <v>2419497</v>
      </c>
      <c r="AB7" s="16">
        <v>1120507</v>
      </c>
      <c r="AC7" s="16">
        <v>5266058</v>
      </c>
      <c r="AD7" s="16">
        <v>5231535</v>
      </c>
      <c r="AE7" s="15">
        <v>6352042</v>
      </c>
      <c r="AF7" s="15">
        <v>1011283</v>
      </c>
      <c r="AG7" s="15">
        <v>3991959</v>
      </c>
      <c r="AH7" s="15">
        <v>-169062</v>
      </c>
      <c r="AI7" s="15">
        <v>-5216527</v>
      </c>
      <c r="AJ7" s="15">
        <v>-382347</v>
      </c>
      <c r="AK7" s="15">
        <v>761680</v>
      </c>
      <c r="AL7" s="15">
        <v>0</v>
      </c>
      <c r="AM7" s="15">
        <v>271174</v>
      </c>
      <c r="AN7" s="15">
        <v>22830673</v>
      </c>
      <c r="AO7" s="15">
        <v>32539075</v>
      </c>
      <c r="AP7" s="15">
        <v>8356625</v>
      </c>
      <c r="AQ7" s="15">
        <v>64759227</v>
      </c>
      <c r="AR7" s="15">
        <v>9075977</v>
      </c>
      <c r="AS7" s="16">
        <v>6243787</v>
      </c>
      <c r="AT7" s="16">
        <v>141467</v>
      </c>
      <c r="AU7" s="17">
        <v>0.13734053569549001</v>
      </c>
      <c r="AV7" s="17">
        <v>0.152174051804042</v>
      </c>
      <c r="AW7" s="17">
        <v>1.4256593318915001</v>
      </c>
      <c r="AX7" s="17">
        <v>0.71048541250046604</v>
      </c>
      <c r="AY7" s="17">
        <v>0.71517391939103603</v>
      </c>
      <c r="AZ7" s="17">
        <f t="shared" ref="AZ7:AZ30" si="1">Y7/$Y$31</f>
        <v>1.7357386177206976E-3</v>
      </c>
      <c r="BA7" s="17">
        <f t="shared" ref="BA7:BA30" si="2">AF7/$AF$31</f>
        <v>7.9614184050147679E-4</v>
      </c>
    </row>
    <row r="8" spans="1:53" ht="15.6" x14ac:dyDescent="0.3">
      <c r="A8" s="14" t="s">
        <v>57</v>
      </c>
      <c r="B8" s="16">
        <v>134786</v>
      </c>
      <c r="C8" s="16"/>
      <c r="D8" s="16">
        <v>2650965</v>
      </c>
      <c r="E8" s="16"/>
      <c r="F8" s="16"/>
      <c r="G8" s="16"/>
      <c r="H8" s="16">
        <v>218721</v>
      </c>
      <c r="I8" s="16"/>
      <c r="J8" s="16"/>
      <c r="K8" s="16"/>
      <c r="L8" s="16"/>
      <c r="M8" s="16"/>
      <c r="N8" s="16">
        <v>164292</v>
      </c>
      <c r="O8" s="16"/>
      <c r="P8" s="16">
        <v>52408</v>
      </c>
      <c r="Q8" s="16">
        <v>4459</v>
      </c>
      <c r="R8" s="16"/>
      <c r="S8" s="16"/>
      <c r="T8" s="16"/>
      <c r="U8" s="16"/>
      <c r="V8" s="16"/>
      <c r="W8" s="16"/>
      <c r="X8" s="16"/>
      <c r="Y8" s="16">
        <v>3225631</v>
      </c>
      <c r="Z8" s="16">
        <v>1479406</v>
      </c>
      <c r="AA8" s="16">
        <v>1746225</v>
      </c>
      <c r="AB8" s="16">
        <v>854827</v>
      </c>
      <c r="AC8" s="16">
        <v>5478800</v>
      </c>
      <c r="AD8" s="16">
        <v>624579</v>
      </c>
      <c r="AE8" s="15">
        <v>1479406</v>
      </c>
      <c r="AF8" s="15">
        <v>1396837</v>
      </c>
      <c r="AG8" s="15">
        <v>1697580</v>
      </c>
      <c r="AH8" s="15">
        <v>-17675</v>
      </c>
      <c r="AI8" s="15">
        <v>-5558799</v>
      </c>
      <c r="AJ8" s="15">
        <v>-2482057</v>
      </c>
      <c r="AK8" s="15">
        <v>2297071</v>
      </c>
      <c r="AL8" s="15">
        <v>0</v>
      </c>
      <c r="AM8" s="15">
        <v>2575770</v>
      </c>
      <c r="AN8" s="15">
        <v>37653758</v>
      </c>
      <c r="AO8" s="15">
        <v>23001141</v>
      </c>
      <c r="AP8" s="15">
        <v>530953</v>
      </c>
      <c r="AQ8" s="15">
        <v>66777598</v>
      </c>
      <c r="AR8" s="15">
        <v>13666292</v>
      </c>
      <c r="AS8" s="16">
        <v>4155900</v>
      </c>
      <c r="AT8" s="16">
        <v>2976114</v>
      </c>
      <c r="AU8" s="17">
        <v>0.52687369397777595</v>
      </c>
      <c r="AV8" s="17">
        <v>0.23754101947057499</v>
      </c>
      <c r="AW8" s="17">
        <v>2.30213678437525</v>
      </c>
      <c r="AX8" s="17">
        <v>0.23558528655164801</v>
      </c>
      <c r="AY8" s="17">
        <v>2.0665514978236099</v>
      </c>
      <c r="AZ8" s="17">
        <f t="shared" si="1"/>
        <v>6.3829760013801818E-4</v>
      </c>
      <c r="BA8" s="17">
        <f t="shared" si="2"/>
        <v>1.099672772172143E-3</v>
      </c>
    </row>
    <row r="9" spans="1:53" ht="15.6" x14ac:dyDescent="0.3">
      <c r="A9" s="14" t="s">
        <v>58</v>
      </c>
      <c r="B9" s="16">
        <v>721254</v>
      </c>
      <c r="C9" s="16">
        <v>17168494</v>
      </c>
      <c r="D9" s="16">
        <v>32811240</v>
      </c>
      <c r="E9" s="16">
        <v>7381411</v>
      </c>
      <c r="F9" s="16">
        <v>14937</v>
      </c>
      <c r="G9" s="16"/>
      <c r="H9" s="16">
        <v>410980</v>
      </c>
      <c r="I9" s="16">
        <v>1201053</v>
      </c>
      <c r="J9" s="16">
        <v>69226</v>
      </c>
      <c r="K9" s="16">
        <v>721061</v>
      </c>
      <c r="L9" s="16">
        <v>296877</v>
      </c>
      <c r="M9" s="16">
        <v>9074461</v>
      </c>
      <c r="N9" s="16">
        <v>746019</v>
      </c>
      <c r="O9" s="16">
        <v>1744773</v>
      </c>
      <c r="P9" s="16"/>
      <c r="Q9" s="16">
        <v>1375956</v>
      </c>
      <c r="R9" s="16">
        <v>95600</v>
      </c>
      <c r="S9" s="16"/>
      <c r="T9" s="16"/>
      <c r="U9" s="16"/>
      <c r="V9" s="16"/>
      <c r="W9" s="16"/>
      <c r="X9" s="16"/>
      <c r="Y9" s="16">
        <v>73833342</v>
      </c>
      <c r="Z9" s="16">
        <v>25122255</v>
      </c>
      <c r="AA9" s="16">
        <v>48711087</v>
      </c>
      <c r="AB9" s="16">
        <v>14273198</v>
      </c>
      <c r="AC9" s="16">
        <v>33214737</v>
      </c>
      <c r="AD9" s="16">
        <v>10849057</v>
      </c>
      <c r="AE9" s="15">
        <v>25122255</v>
      </c>
      <c r="AF9" s="15">
        <v>32072152</v>
      </c>
      <c r="AG9" s="15">
        <v>10073773</v>
      </c>
      <c r="AH9" s="15">
        <v>-933344</v>
      </c>
      <c r="AI9" s="15">
        <v>-37182110</v>
      </c>
      <c r="AJ9" s="15">
        <v>2667616</v>
      </c>
      <c r="AK9" s="15">
        <v>23711614</v>
      </c>
      <c r="AL9" s="15">
        <v>0</v>
      </c>
      <c r="AM9" s="15">
        <v>15927773</v>
      </c>
      <c r="AN9" s="15">
        <v>69031445</v>
      </c>
      <c r="AO9" s="15">
        <v>560633</v>
      </c>
      <c r="AP9" s="15">
        <v>20010926</v>
      </c>
      <c r="AQ9" s="15">
        <v>129242391</v>
      </c>
      <c r="AR9" s="15">
        <v>68723093</v>
      </c>
      <c r="AS9" s="16">
        <v>51592446</v>
      </c>
      <c r="AT9" s="16">
        <v>0</v>
      </c>
      <c r="AU9" s="17">
        <v>0.57436216812238094</v>
      </c>
      <c r="AV9" s="17">
        <v>0.231348159622283</v>
      </c>
      <c r="AW9" s="17">
        <v>0.78911375381165405</v>
      </c>
      <c r="AX9" s="17">
        <v>0.194289672255335</v>
      </c>
      <c r="AY9" s="17">
        <v>0.59482408155631905</v>
      </c>
      <c r="AZ9" s="17">
        <f t="shared" si="1"/>
        <v>1.4610364610449721E-2</v>
      </c>
      <c r="BA9" s="17">
        <f t="shared" si="2"/>
        <v>2.524909656557375E-2</v>
      </c>
    </row>
    <row r="10" spans="1:53" ht="15.6" x14ac:dyDescent="0.3">
      <c r="A10" s="14" t="s">
        <v>52</v>
      </c>
      <c r="B10" s="16">
        <v>1127964</v>
      </c>
      <c r="C10" s="16">
        <v>9870704</v>
      </c>
      <c r="D10" s="16">
        <v>33932554</v>
      </c>
      <c r="E10" s="16">
        <v>31523946</v>
      </c>
      <c r="F10" s="16"/>
      <c r="G10" s="16"/>
      <c r="H10" s="16">
        <v>624515</v>
      </c>
      <c r="I10" s="16">
        <v>120085</v>
      </c>
      <c r="J10" s="16"/>
      <c r="K10" s="16">
        <v>2037801</v>
      </c>
      <c r="L10" s="16">
        <v>269298</v>
      </c>
      <c r="M10" s="16">
        <v>1370319</v>
      </c>
      <c r="N10" s="16">
        <v>2014786</v>
      </c>
      <c r="O10" s="16">
        <v>25963</v>
      </c>
      <c r="P10" s="16">
        <v>3876454</v>
      </c>
      <c r="Q10" s="16">
        <v>2075970</v>
      </c>
      <c r="R10" s="16">
        <v>0</v>
      </c>
      <c r="S10" s="16"/>
      <c r="T10" s="16"/>
      <c r="U10" s="16"/>
      <c r="V10" s="16"/>
      <c r="W10" s="16"/>
      <c r="X10" s="16"/>
      <c r="Y10" s="16">
        <v>88870359</v>
      </c>
      <c r="Z10" s="16">
        <v>53101422</v>
      </c>
      <c r="AA10" s="16">
        <v>35768937</v>
      </c>
      <c r="AB10" s="16">
        <v>17932901</v>
      </c>
      <c r="AC10" s="16">
        <v>19276156</v>
      </c>
      <c r="AD10" s="16">
        <v>35168521</v>
      </c>
      <c r="AE10" s="15">
        <v>53101422</v>
      </c>
      <c r="AF10" s="15">
        <v>26726953</v>
      </c>
      <c r="AG10" s="15">
        <v>22678129</v>
      </c>
      <c r="AH10" s="15">
        <v>0</v>
      </c>
      <c r="AI10" s="15">
        <v>-18371621</v>
      </c>
      <c r="AJ10" s="15">
        <v>22709919</v>
      </c>
      <c r="AK10" s="15">
        <v>27592480</v>
      </c>
      <c r="AL10" s="15">
        <v>0</v>
      </c>
      <c r="AM10" s="15">
        <v>7703152</v>
      </c>
      <c r="AN10" s="15">
        <v>63567755</v>
      </c>
      <c r="AO10" s="15">
        <v>16197715</v>
      </c>
      <c r="AP10" s="15">
        <v>10486273</v>
      </c>
      <c r="AQ10" s="15">
        <v>126401537</v>
      </c>
      <c r="AR10" s="15">
        <v>55221180</v>
      </c>
      <c r="AS10" s="16">
        <v>44207885</v>
      </c>
      <c r="AT10" s="16">
        <v>0</v>
      </c>
      <c r="AU10" s="17">
        <v>0.354403096592391</v>
      </c>
      <c r="AV10" s="17">
        <v>0.179257446568868</v>
      </c>
      <c r="AW10" s="17">
        <v>0.72194395379722198</v>
      </c>
      <c r="AX10" s="17">
        <v>0.46633945683874001</v>
      </c>
      <c r="AY10" s="17">
        <v>0.25560449695848197</v>
      </c>
      <c r="AZ10" s="17">
        <f t="shared" si="1"/>
        <v>1.7585934929663101E-2</v>
      </c>
      <c r="BA10" s="17">
        <f t="shared" si="2"/>
        <v>2.1041039503696259E-2</v>
      </c>
    </row>
    <row r="11" spans="1:53" ht="15.6" x14ac:dyDescent="0.3">
      <c r="A11" s="14" t="s">
        <v>59</v>
      </c>
      <c r="B11" s="16">
        <v>11934906</v>
      </c>
      <c r="C11" s="16">
        <v>207922916</v>
      </c>
      <c r="D11" s="16">
        <v>240569874</v>
      </c>
      <c r="E11" s="16">
        <v>22973048</v>
      </c>
      <c r="F11" s="16">
        <v>1517571</v>
      </c>
      <c r="G11" s="16"/>
      <c r="H11" s="16">
        <v>17582891</v>
      </c>
      <c r="I11" s="16">
        <v>6076199</v>
      </c>
      <c r="J11" s="16">
        <v>3033089</v>
      </c>
      <c r="K11" s="16">
        <v>16295294</v>
      </c>
      <c r="L11" s="16">
        <v>12191932</v>
      </c>
      <c r="M11" s="16">
        <v>31894087</v>
      </c>
      <c r="N11" s="16">
        <v>29161930</v>
      </c>
      <c r="O11" s="16">
        <v>28541878</v>
      </c>
      <c r="P11" s="16">
        <v>15943234</v>
      </c>
      <c r="Q11" s="16">
        <v>20800637</v>
      </c>
      <c r="R11" s="16">
        <v>20027791</v>
      </c>
      <c r="S11" s="16">
        <v>1781459</v>
      </c>
      <c r="T11" s="16"/>
      <c r="U11" s="16">
        <v>5868</v>
      </c>
      <c r="V11" s="16"/>
      <c r="W11" s="16"/>
      <c r="X11" s="16"/>
      <c r="Y11" s="16">
        <v>688254604</v>
      </c>
      <c r="Z11" s="16">
        <v>536226015</v>
      </c>
      <c r="AA11" s="16">
        <v>152028589</v>
      </c>
      <c r="AB11" s="16">
        <v>423262256</v>
      </c>
      <c r="AC11" s="16">
        <v>136546574</v>
      </c>
      <c r="AD11" s="16">
        <v>112963759</v>
      </c>
      <c r="AE11" s="15">
        <v>536226015</v>
      </c>
      <c r="AF11" s="15">
        <v>169700406</v>
      </c>
      <c r="AG11" s="15">
        <v>51725000</v>
      </c>
      <c r="AH11" s="15">
        <v>-6998792</v>
      </c>
      <c r="AI11" s="15">
        <v>-108193967</v>
      </c>
      <c r="AJ11" s="15">
        <v>78805647</v>
      </c>
      <c r="AK11" s="15">
        <v>57614000</v>
      </c>
      <c r="AL11" s="15">
        <v>0</v>
      </c>
      <c r="AM11" s="15">
        <v>148750821</v>
      </c>
      <c r="AN11" s="15">
        <v>403629847</v>
      </c>
      <c r="AO11" s="15">
        <v>87951695</v>
      </c>
      <c r="AP11" s="15">
        <v>19749238</v>
      </c>
      <c r="AQ11" s="15">
        <v>717695601</v>
      </c>
      <c r="AR11" s="15">
        <v>437940953</v>
      </c>
      <c r="AS11" s="16">
        <v>345044334</v>
      </c>
      <c r="AT11" s="16">
        <v>0</v>
      </c>
      <c r="AU11" s="17">
        <v>0.41076790758620402</v>
      </c>
      <c r="AV11" s="17">
        <v>0.31579793859390198</v>
      </c>
      <c r="AW11" s="17">
        <v>0.60395163348959202</v>
      </c>
      <c r="AX11" s="17">
        <v>0.273434153819892</v>
      </c>
      <c r="AY11" s="17">
        <v>0.33051747966969902</v>
      </c>
      <c r="AZ11" s="17">
        <f t="shared" si="1"/>
        <v>0.13619389881147037</v>
      </c>
      <c r="BA11" s="17">
        <f t="shared" si="2"/>
        <v>0.13359820501945335</v>
      </c>
    </row>
    <row r="12" spans="1:53" ht="15.6" x14ac:dyDescent="0.3">
      <c r="A12" s="14" t="s">
        <v>60</v>
      </c>
      <c r="B12" s="16"/>
      <c r="C12" s="16">
        <v>192034040</v>
      </c>
      <c r="D12" s="16">
        <v>95258745</v>
      </c>
      <c r="E12" s="16"/>
      <c r="F12" s="16"/>
      <c r="G12" s="16"/>
      <c r="H12" s="16"/>
      <c r="I12" s="16"/>
      <c r="J12" s="16"/>
      <c r="K12" s="16"/>
      <c r="L12" s="16"/>
      <c r="M12" s="16">
        <v>56635100</v>
      </c>
      <c r="N12" s="16">
        <v>15548438</v>
      </c>
      <c r="O12" s="16"/>
      <c r="P12" s="16">
        <v>11240828</v>
      </c>
      <c r="Q12" s="16">
        <v>18094004</v>
      </c>
      <c r="R12" s="16"/>
      <c r="S12" s="16"/>
      <c r="T12" s="16"/>
      <c r="U12" s="16"/>
      <c r="V12" s="16"/>
      <c r="W12" s="16"/>
      <c r="X12" s="16"/>
      <c r="Y12" s="16">
        <v>388811155</v>
      </c>
      <c r="Z12" s="16">
        <v>124342012</v>
      </c>
      <c r="AA12" s="16">
        <v>264469143</v>
      </c>
      <c r="AB12" s="16">
        <v>82514893</v>
      </c>
      <c r="AC12" s="16">
        <v>10442795</v>
      </c>
      <c r="AD12" s="16">
        <v>41827119</v>
      </c>
      <c r="AE12" s="15">
        <v>124342012</v>
      </c>
      <c r="AF12" s="15">
        <v>31531760</v>
      </c>
      <c r="AG12" s="15">
        <v>25682571</v>
      </c>
      <c r="AH12" s="15">
        <v>0</v>
      </c>
      <c r="AI12" s="15">
        <v>123636</v>
      </c>
      <c r="AJ12" s="15">
        <v>40807651</v>
      </c>
      <c r="AK12" s="15">
        <v>86600584</v>
      </c>
      <c r="AL12" s="15">
        <v>0</v>
      </c>
      <c r="AM12" s="15">
        <v>306834472</v>
      </c>
      <c r="AN12" s="15">
        <v>178784828</v>
      </c>
      <c r="AO12" s="15">
        <v>843215</v>
      </c>
      <c r="AP12" s="15">
        <v>49834058</v>
      </c>
      <c r="AQ12" s="15">
        <v>623409894</v>
      </c>
      <c r="AR12" s="15">
        <v>424125882</v>
      </c>
      <c r="AS12" s="16">
        <v>352602082</v>
      </c>
      <c r="AT12" s="16">
        <v>10197384</v>
      </c>
      <c r="AU12" s="17">
        <v>0.23013859671871401</v>
      </c>
      <c r="AV12" s="17">
        <v>0.46458080773423299</v>
      </c>
      <c r="AW12" s="17">
        <v>0.381498674941325</v>
      </c>
      <c r="AX12" s="17">
        <v>0.305280595547051</v>
      </c>
      <c r="AY12" s="17">
        <v>7.6218079394274496E-2</v>
      </c>
      <c r="AZ12" s="17">
        <f t="shared" si="1"/>
        <v>7.693912513346722E-2</v>
      </c>
      <c r="BA12" s="17">
        <f t="shared" si="2"/>
        <v>2.4823667994667016E-2</v>
      </c>
    </row>
    <row r="13" spans="1:53" ht="15.6" x14ac:dyDescent="0.3">
      <c r="A13" s="14" t="s">
        <v>61</v>
      </c>
      <c r="B13" s="16">
        <v>2809625</v>
      </c>
      <c r="C13" s="16">
        <v>200779143</v>
      </c>
      <c r="D13" s="16">
        <v>56953092</v>
      </c>
      <c r="E13" s="16">
        <v>16948098</v>
      </c>
      <c r="F13" s="16">
        <v>111543</v>
      </c>
      <c r="G13" s="16">
        <v>0</v>
      </c>
      <c r="H13" s="16">
        <v>28298395</v>
      </c>
      <c r="I13" s="16">
        <v>733712</v>
      </c>
      <c r="J13" s="16">
        <v>0</v>
      </c>
      <c r="K13" s="16">
        <v>3695743</v>
      </c>
      <c r="L13" s="16">
        <v>797338</v>
      </c>
      <c r="M13" s="16">
        <v>28175894</v>
      </c>
      <c r="N13" s="16">
        <v>54780838</v>
      </c>
      <c r="O13" s="16">
        <v>8443532</v>
      </c>
      <c r="P13" s="16">
        <v>27857726</v>
      </c>
      <c r="Q13" s="16">
        <v>44213380</v>
      </c>
      <c r="R13" s="16">
        <v>13350023</v>
      </c>
      <c r="S13" s="16">
        <v>0</v>
      </c>
      <c r="T13" s="16">
        <v>410882</v>
      </c>
      <c r="U13" s="16">
        <v>1957258</v>
      </c>
      <c r="V13" s="16"/>
      <c r="W13" s="16"/>
      <c r="X13" s="16"/>
      <c r="Y13" s="16">
        <v>490316222</v>
      </c>
      <c r="Z13" s="16">
        <v>369811332</v>
      </c>
      <c r="AA13" s="16">
        <v>120504890</v>
      </c>
      <c r="AB13" s="16">
        <v>172048477</v>
      </c>
      <c r="AC13" s="16">
        <v>25991872</v>
      </c>
      <c r="AD13" s="16">
        <v>197762855</v>
      </c>
      <c r="AE13" s="15">
        <v>369811332</v>
      </c>
      <c r="AF13" s="15">
        <v>63468424</v>
      </c>
      <c r="AG13" s="15">
        <v>12287205</v>
      </c>
      <c r="AH13" s="15">
        <v>-194842</v>
      </c>
      <c r="AI13" s="15">
        <v>-8549297</v>
      </c>
      <c r="AJ13" s="15">
        <v>46293255</v>
      </c>
      <c r="AK13" s="15">
        <v>56292614</v>
      </c>
      <c r="AL13" s="15">
        <v>0</v>
      </c>
      <c r="AM13" s="15">
        <v>86268177</v>
      </c>
      <c r="AN13" s="15">
        <v>245161049</v>
      </c>
      <c r="AO13" s="15">
        <v>21747268</v>
      </c>
      <c r="AP13" s="15">
        <v>12998635</v>
      </c>
      <c r="AQ13" s="15">
        <v>426353968</v>
      </c>
      <c r="AR13" s="15">
        <v>272035951</v>
      </c>
      <c r="AS13" s="16">
        <v>194145666</v>
      </c>
      <c r="AT13" s="16">
        <v>0</v>
      </c>
      <c r="AU13" s="17">
        <v>0.19050468534601001</v>
      </c>
      <c r="AV13" s="17">
        <v>0.215896985114506</v>
      </c>
      <c r="AW13" s="17">
        <v>0.67161465773622198</v>
      </c>
      <c r="AX13" s="17">
        <v>0.59359832953948299</v>
      </c>
      <c r="AY13" s="17">
        <v>7.8016328196738802E-2</v>
      </c>
      <c r="AZ13" s="17">
        <f t="shared" si="1"/>
        <v>9.7025254225092616E-2</v>
      </c>
      <c r="BA13" s="17">
        <f t="shared" si="2"/>
        <v>4.9966100386428028E-2</v>
      </c>
    </row>
    <row r="14" spans="1:53" ht="15.6" x14ac:dyDescent="0.3">
      <c r="A14" s="14" t="s">
        <v>62</v>
      </c>
      <c r="B14" s="16">
        <v>6059107.1331516001</v>
      </c>
      <c r="C14" s="16">
        <v>181385590.454467</v>
      </c>
      <c r="D14" s="16">
        <v>153440630.86885601</v>
      </c>
      <c r="E14" s="16">
        <v>21896715.918925598</v>
      </c>
      <c r="F14" s="16">
        <v>651484.81229494105</v>
      </c>
      <c r="G14" s="16"/>
      <c r="H14" s="16">
        <v>29482448.739784501</v>
      </c>
      <c r="I14" s="16">
        <v>1196792.9019521</v>
      </c>
      <c r="J14" s="16">
        <v>2490189.6402558102</v>
      </c>
      <c r="K14" s="16">
        <v>5000044.3859553998</v>
      </c>
      <c r="L14" s="16">
        <v>2479836.8556048698</v>
      </c>
      <c r="M14" s="16">
        <v>15276959.122470099</v>
      </c>
      <c r="N14" s="16">
        <v>1069674.48302305</v>
      </c>
      <c r="O14" s="16">
        <v>15910367.211556399</v>
      </c>
      <c r="P14" s="16">
        <v>4393075.6749117495</v>
      </c>
      <c r="Q14" s="16">
        <v>6309449.0293428302</v>
      </c>
      <c r="R14" s="16">
        <v>1189560.9941414101</v>
      </c>
      <c r="S14" s="16">
        <v>148747.003305411</v>
      </c>
      <c r="T14" s="16"/>
      <c r="U14" s="16"/>
      <c r="V14" s="16"/>
      <c r="W14" s="16"/>
      <c r="X14" s="16"/>
      <c r="Y14" s="16">
        <v>448380675.22999901</v>
      </c>
      <c r="Z14" s="16">
        <v>262140127.209999</v>
      </c>
      <c r="AA14" s="16">
        <v>186240548.019999</v>
      </c>
      <c r="AB14" s="16">
        <v>164678387.08999899</v>
      </c>
      <c r="AC14" s="16">
        <v>29026497</v>
      </c>
      <c r="AD14" s="16">
        <v>97461740.120000005</v>
      </c>
      <c r="AE14" s="15">
        <v>262140127.21000001</v>
      </c>
      <c r="AF14" s="15">
        <v>42187937.469999999</v>
      </c>
      <c r="AG14" s="15">
        <v>55577566.43</v>
      </c>
      <c r="AH14" s="15">
        <v>-611358.09</v>
      </c>
      <c r="AI14" s="15">
        <v>-26340769.800000001</v>
      </c>
      <c r="AJ14" s="15">
        <v>52734781.009999998</v>
      </c>
      <c r="AK14" s="15">
        <v>140975741.66</v>
      </c>
      <c r="AL14" s="15">
        <v>0</v>
      </c>
      <c r="AM14" s="15">
        <v>95430312.680000007</v>
      </c>
      <c r="AN14" s="15">
        <v>158557255.11999899</v>
      </c>
      <c r="AO14" s="15">
        <v>15725972.140000001</v>
      </c>
      <c r="AP14" s="15">
        <v>16537213.1299999</v>
      </c>
      <c r="AQ14" s="15">
        <v>427468398.20999998</v>
      </c>
      <c r="AR14" s="15">
        <v>274721567.69999999</v>
      </c>
      <c r="AS14" s="16">
        <v>194303662.97</v>
      </c>
      <c r="AT14" s="16">
        <v>0</v>
      </c>
      <c r="AU14" s="17">
        <v>0.173634774232346</v>
      </c>
      <c r="AV14" s="17">
        <v>0.42523759884676698</v>
      </c>
      <c r="AW14" s="17">
        <v>0.52059327410818601</v>
      </c>
      <c r="AX14" s="17">
        <v>0.40112762692088599</v>
      </c>
      <c r="AY14" s="17">
        <v>0.119465647187299</v>
      </c>
      <c r="AZ14" s="17">
        <f t="shared" si="1"/>
        <v>8.8726921631014977E-2</v>
      </c>
      <c r="BA14" s="17">
        <f t="shared" si="2"/>
        <v>3.3212841691521576E-2</v>
      </c>
    </row>
    <row r="15" spans="1:53" ht="15.6" x14ac:dyDescent="0.3">
      <c r="A15" s="14" t="s">
        <v>63</v>
      </c>
      <c r="B15" s="16">
        <v>1156076.8</v>
      </c>
      <c r="C15" s="16">
        <v>4624307.2</v>
      </c>
      <c r="D15" s="16">
        <v>28631232</v>
      </c>
      <c r="E15" s="16">
        <v>12270528</v>
      </c>
      <c r="F15" s="16"/>
      <c r="G15" s="16"/>
      <c r="H15" s="16">
        <v>2429095</v>
      </c>
      <c r="I15" s="16"/>
      <c r="J15" s="16"/>
      <c r="K15" s="16"/>
      <c r="L15" s="16"/>
      <c r="M15" s="16">
        <v>1290394</v>
      </c>
      <c r="N15" s="16"/>
      <c r="O15" s="16">
        <v>4394460</v>
      </c>
      <c r="P15" s="16">
        <v>12227361</v>
      </c>
      <c r="Q15" s="16">
        <v>279555</v>
      </c>
      <c r="R15" s="16"/>
      <c r="S15" s="16"/>
      <c r="T15" s="16"/>
      <c r="U15" s="16"/>
      <c r="V15" s="16"/>
      <c r="W15" s="16"/>
      <c r="X15" s="16"/>
      <c r="Y15" s="16">
        <v>67303009</v>
      </c>
      <c r="Z15" s="16">
        <v>44960693</v>
      </c>
      <c r="AA15" s="16">
        <v>22342316</v>
      </c>
      <c r="AB15" s="16">
        <v>44960693</v>
      </c>
      <c r="AC15" s="16">
        <v>10739063</v>
      </c>
      <c r="AD15" s="16">
        <v>0</v>
      </c>
      <c r="AE15" s="15">
        <v>44960693</v>
      </c>
      <c r="AF15" s="15">
        <v>9273825</v>
      </c>
      <c r="AG15" s="15">
        <v>14031125</v>
      </c>
      <c r="AH15" s="15">
        <v>0</v>
      </c>
      <c r="AI15" s="15">
        <v>-9560556</v>
      </c>
      <c r="AJ15" s="15">
        <v>13744394</v>
      </c>
      <c r="AK15" s="15">
        <v>17582266</v>
      </c>
      <c r="AL15" s="15">
        <v>2801842</v>
      </c>
      <c r="AM15" s="15">
        <v>1554730</v>
      </c>
      <c r="AN15" s="15">
        <v>76512364</v>
      </c>
      <c r="AO15" s="15">
        <v>9185011</v>
      </c>
      <c r="AP15" s="15">
        <v>6790458</v>
      </c>
      <c r="AQ15" s="15">
        <v>114426671</v>
      </c>
      <c r="AR15" s="15">
        <v>40295158</v>
      </c>
      <c r="AS15" s="16">
        <v>22497262</v>
      </c>
      <c r="AT15" s="16">
        <v>7556727</v>
      </c>
      <c r="AU15" s="17">
        <v>0.20675480746882699</v>
      </c>
      <c r="AV15" s="17">
        <v>0.79324519253117198</v>
      </c>
      <c r="AW15" s="17">
        <v>0.23942147959020199</v>
      </c>
      <c r="AX15" s="17">
        <v>0</v>
      </c>
      <c r="AY15" s="17">
        <v>0.23942147959020199</v>
      </c>
      <c r="AZ15" s="17">
        <f t="shared" si="1"/>
        <v>1.3318122601986228E-2</v>
      </c>
      <c r="BA15" s="17">
        <f t="shared" si="2"/>
        <v>7.3009040041102317E-3</v>
      </c>
    </row>
    <row r="16" spans="1:53" ht="15.6" x14ac:dyDescent="0.3">
      <c r="A16" s="14" t="s">
        <v>64</v>
      </c>
      <c r="B16" s="16">
        <v>283491</v>
      </c>
      <c r="C16" s="16">
        <v>1133965</v>
      </c>
      <c r="D16" s="16">
        <v>30917287</v>
      </c>
      <c r="E16" s="16">
        <v>14269517</v>
      </c>
      <c r="F16" s="16">
        <v>2378252</v>
      </c>
      <c r="G16" s="16"/>
      <c r="H16" s="16">
        <v>3455326</v>
      </c>
      <c r="I16" s="16">
        <v>93718</v>
      </c>
      <c r="J16" s="16"/>
      <c r="K16" s="16">
        <v>273948</v>
      </c>
      <c r="L16" s="16">
        <v>43254</v>
      </c>
      <c r="M16" s="16">
        <v>309993</v>
      </c>
      <c r="N16" s="16">
        <v>1085298</v>
      </c>
      <c r="O16" s="16">
        <v>723532</v>
      </c>
      <c r="P16" s="16">
        <v>1864732</v>
      </c>
      <c r="Q16" s="16">
        <v>30426</v>
      </c>
      <c r="R16" s="16">
        <v>3388</v>
      </c>
      <c r="S16" s="16"/>
      <c r="T16" s="16"/>
      <c r="U16" s="16"/>
      <c r="V16" s="16"/>
      <c r="W16" s="16"/>
      <c r="X16" s="16"/>
      <c r="Y16" s="16">
        <v>56866127</v>
      </c>
      <c r="Z16" s="16">
        <v>23724133</v>
      </c>
      <c r="AA16" s="16">
        <v>33141994</v>
      </c>
      <c r="AB16" s="16">
        <v>23724133</v>
      </c>
      <c r="AC16" s="16">
        <v>26449870</v>
      </c>
      <c r="AD16" s="16">
        <v>0</v>
      </c>
      <c r="AE16" s="15">
        <v>23724133</v>
      </c>
      <c r="AF16" s="15">
        <v>30076725</v>
      </c>
      <c r="AG16" s="15">
        <v>2441375</v>
      </c>
      <c r="AH16" s="15">
        <v>0</v>
      </c>
      <c r="AI16" s="15">
        <v>-25537070</v>
      </c>
      <c r="AJ16" s="15">
        <v>5235773</v>
      </c>
      <c r="AK16" s="15">
        <v>10626856</v>
      </c>
      <c r="AL16" s="15">
        <v>0</v>
      </c>
      <c r="AM16" s="15">
        <v>0</v>
      </c>
      <c r="AN16" s="15">
        <v>69617538</v>
      </c>
      <c r="AO16" s="15">
        <v>7125217</v>
      </c>
      <c r="AP16" s="15">
        <v>49676903</v>
      </c>
      <c r="AQ16" s="15">
        <v>138556078</v>
      </c>
      <c r="AR16" s="15">
        <v>41374384</v>
      </c>
      <c r="AS16" s="16">
        <v>31538550</v>
      </c>
      <c r="AT16" s="16">
        <v>2823837</v>
      </c>
      <c r="AU16" s="17">
        <v>0.61431398788603397</v>
      </c>
      <c r="AV16" s="17">
        <v>0.38568601211396503</v>
      </c>
      <c r="AW16" s="17">
        <v>0.54023585077056002</v>
      </c>
      <c r="AX16" s="17">
        <v>0</v>
      </c>
      <c r="AY16" s="17">
        <v>0.54023585077056002</v>
      </c>
      <c r="AZ16" s="17">
        <f t="shared" si="1"/>
        <v>1.1252840883921242E-2</v>
      </c>
      <c r="BA16" s="17">
        <f t="shared" si="2"/>
        <v>2.3678178311864015E-2</v>
      </c>
    </row>
    <row r="17" spans="1:56" ht="15.6" x14ac:dyDescent="0.3">
      <c r="A17" s="14" t="s">
        <v>65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6"/>
      <c r="AU17" s="17"/>
      <c r="AV17" s="17"/>
      <c r="AW17" s="17"/>
      <c r="AX17" s="17"/>
      <c r="AY17" s="17"/>
      <c r="AZ17" s="17"/>
      <c r="BA17" s="17"/>
    </row>
    <row r="18" spans="1:56" ht="15.6" x14ac:dyDescent="0.3">
      <c r="A18" s="14" t="s">
        <v>66</v>
      </c>
      <c r="B18" s="16">
        <v>459711</v>
      </c>
      <c r="C18" s="16">
        <v>3231639</v>
      </c>
      <c r="D18" s="16">
        <v>13632408</v>
      </c>
      <c r="E18" s="16">
        <v>9279770</v>
      </c>
      <c r="F18" s="16">
        <v>66948</v>
      </c>
      <c r="G18" s="16">
        <v>0</v>
      </c>
      <c r="H18" s="16">
        <v>274595</v>
      </c>
      <c r="I18" s="16">
        <v>433536</v>
      </c>
      <c r="J18" s="16">
        <v>361848</v>
      </c>
      <c r="K18" s="16">
        <v>671464</v>
      </c>
      <c r="L18" s="16">
        <v>96451</v>
      </c>
      <c r="M18" s="16">
        <v>6799184</v>
      </c>
      <c r="N18" s="16">
        <v>130928</v>
      </c>
      <c r="O18" s="16">
        <v>53476</v>
      </c>
      <c r="P18" s="16">
        <v>255917</v>
      </c>
      <c r="Q18" s="16">
        <v>2308231</v>
      </c>
      <c r="R18" s="16">
        <v>166847</v>
      </c>
      <c r="S18" s="16">
        <v>2779831</v>
      </c>
      <c r="T18" s="16"/>
      <c r="U18" s="16"/>
      <c r="V18" s="16"/>
      <c r="W18" s="16"/>
      <c r="X18" s="16"/>
      <c r="Y18" s="16">
        <v>41002784</v>
      </c>
      <c r="Z18" s="16">
        <v>16703038</v>
      </c>
      <c r="AA18" s="16">
        <v>24299746</v>
      </c>
      <c r="AB18" s="16">
        <v>10228837</v>
      </c>
      <c r="AC18" s="16">
        <v>19339611</v>
      </c>
      <c r="AD18" s="16">
        <v>6474201</v>
      </c>
      <c r="AE18" s="15">
        <v>16703038</v>
      </c>
      <c r="AF18" s="15">
        <v>15820084</v>
      </c>
      <c r="AG18" s="15">
        <v>13297945.9975543</v>
      </c>
      <c r="AH18" s="15">
        <v>166253</v>
      </c>
      <c r="AI18" s="15">
        <v>-13985865</v>
      </c>
      <c r="AJ18" s="15">
        <v>15298417.9975543</v>
      </c>
      <c r="AK18" s="15">
        <v>10794963</v>
      </c>
      <c r="AL18" s="15">
        <v>0</v>
      </c>
      <c r="AM18" s="15">
        <v>23793161</v>
      </c>
      <c r="AN18" s="15">
        <v>96408311</v>
      </c>
      <c r="AO18" s="15">
        <v>3355186</v>
      </c>
      <c r="AP18" s="15">
        <v>10018857</v>
      </c>
      <c r="AQ18" s="15">
        <v>149439108</v>
      </c>
      <c r="AR18" s="15">
        <v>53629380</v>
      </c>
      <c r="AS18" s="16">
        <v>39905114</v>
      </c>
      <c r="AT18" s="16">
        <v>0</v>
      </c>
      <c r="AU18" s="17">
        <v>0.523269076761115</v>
      </c>
      <c r="AV18" s="17">
        <v>0.26258862285439299</v>
      </c>
      <c r="AW18" s="17">
        <v>0.85382413727544004</v>
      </c>
      <c r="AX18" s="17">
        <v>0.214142300384491</v>
      </c>
      <c r="AY18" s="17">
        <v>0.63968183689094804</v>
      </c>
      <c r="AZ18" s="17">
        <f t="shared" si="1"/>
        <v>8.1137546812321461E-3</v>
      </c>
      <c r="BA18" s="17">
        <f t="shared" si="2"/>
        <v>1.2454506594739519E-2</v>
      </c>
      <c r="BD18" t="s">
        <v>82</v>
      </c>
    </row>
    <row r="19" spans="1:56" ht="15.6" x14ac:dyDescent="0.3">
      <c r="A19" s="14" t="s">
        <v>67</v>
      </c>
      <c r="B19" s="16"/>
      <c r="C19" s="16">
        <v>13614171</v>
      </c>
      <c r="D19" s="16"/>
      <c r="E19" s="16"/>
      <c r="F19" s="16"/>
      <c r="G19" s="16">
        <v>80417782</v>
      </c>
      <c r="H19" s="16"/>
      <c r="I19" s="16"/>
      <c r="J19" s="16">
        <v>50204</v>
      </c>
      <c r="K19" s="16">
        <v>3559714</v>
      </c>
      <c r="L19" s="16"/>
      <c r="M19" s="16">
        <v>3413163</v>
      </c>
      <c r="N19" s="16"/>
      <c r="O19" s="16">
        <v>29282512</v>
      </c>
      <c r="P19" s="16">
        <v>42379106</v>
      </c>
      <c r="Q19" s="16">
        <v>601703</v>
      </c>
      <c r="R19" s="16"/>
      <c r="S19" s="16"/>
      <c r="T19" s="16"/>
      <c r="U19" s="16"/>
      <c r="V19" s="16"/>
      <c r="W19" s="16"/>
      <c r="X19" s="16"/>
      <c r="Y19" s="16">
        <v>173318355</v>
      </c>
      <c r="Z19" s="16">
        <v>113871813</v>
      </c>
      <c r="AA19" s="16">
        <v>59446542</v>
      </c>
      <c r="AB19" s="16">
        <v>82515747</v>
      </c>
      <c r="AC19" s="16">
        <v>19437538</v>
      </c>
      <c r="AD19" s="16">
        <v>31356066</v>
      </c>
      <c r="AE19" s="15">
        <v>113871813</v>
      </c>
      <c r="AF19" s="15">
        <v>13748837</v>
      </c>
      <c r="AG19" s="15">
        <v>2327</v>
      </c>
      <c r="AH19" s="15">
        <v>0</v>
      </c>
      <c r="AI19" s="15">
        <v>-3957265</v>
      </c>
      <c r="AJ19" s="15">
        <v>6496251</v>
      </c>
      <c r="AK19" s="15">
        <v>15901265</v>
      </c>
      <c r="AL19" s="15">
        <v>0</v>
      </c>
      <c r="AM19" s="15">
        <v>48500085</v>
      </c>
      <c r="AN19" s="15">
        <v>150743106</v>
      </c>
      <c r="AO19" s="15">
        <v>5180147</v>
      </c>
      <c r="AP19" s="15">
        <v>5480230</v>
      </c>
      <c r="AQ19" s="15">
        <v>225804833</v>
      </c>
      <c r="AR19" s="15">
        <v>166753498</v>
      </c>
      <c r="AS19" s="16">
        <v>112696944</v>
      </c>
      <c r="AT19" s="16">
        <v>20624477</v>
      </c>
      <c r="AU19" s="17">
        <v>0.115517095779242</v>
      </c>
      <c r="AV19" s="17">
        <v>0.62103068063397404</v>
      </c>
      <c r="AW19" s="17">
        <v>0.42676552338506102</v>
      </c>
      <c r="AX19" s="17">
        <v>0.263452223586783</v>
      </c>
      <c r="AY19" s="17">
        <v>0.16331329979827799</v>
      </c>
      <c r="AZ19" s="17">
        <f t="shared" si="1"/>
        <v>3.4296759318213729E-2</v>
      </c>
      <c r="BA19" s="17">
        <f t="shared" si="2"/>
        <v>1.0823898348864562E-2</v>
      </c>
    </row>
    <row r="20" spans="1:56" ht="15.6" x14ac:dyDescent="0.3">
      <c r="A20" s="14" t="s">
        <v>68</v>
      </c>
      <c r="B20" s="16"/>
      <c r="C20" s="16">
        <v>22579872</v>
      </c>
      <c r="D20" s="16"/>
      <c r="E20" s="16">
        <v>83325714</v>
      </c>
      <c r="F20" s="16"/>
      <c r="G20" s="16"/>
      <c r="H20" s="16">
        <v>9053044</v>
      </c>
      <c r="I20" s="16"/>
      <c r="J20" s="16">
        <v>913771</v>
      </c>
      <c r="K20" s="16"/>
      <c r="L20" s="16"/>
      <c r="M20" s="16"/>
      <c r="N20" s="16">
        <v>11689442</v>
      </c>
      <c r="O20" s="16"/>
      <c r="P20" s="16">
        <v>36347541</v>
      </c>
      <c r="Q20" s="16"/>
      <c r="R20" s="16">
        <v>3130337</v>
      </c>
      <c r="S20" s="16"/>
      <c r="T20" s="16"/>
      <c r="U20" s="16"/>
      <c r="V20" s="16"/>
      <c r="W20" s="16"/>
      <c r="X20" s="16"/>
      <c r="Y20" s="16">
        <v>167039721</v>
      </c>
      <c r="Z20" s="16">
        <v>75739715</v>
      </c>
      <c r="AA20" s="16">
        <v>91300006</v>
      </c>
      <c r="AB20" s="16">
        <v>55470290</v>
      </c>
      <c r="AC20" s="16">
        <v>67871585</v>
      </c>
      <c r="AD20" s="16">
        <v>20269425</v>
      </c>
      <c r="AE20" s="15">
        <v>75739715</v>
      </c>
      <c r="AF20" s="15">
        <v>79259915</v>
      </c>
      <c r="AG20" s="15">
        <v>-213403</v>
      </c>
      <c r="AH20" s="15">
        <v>-853528</v>
      </c>
      <c r="AI20" s="15">
        <v>-58516928</v>
      </c>
      <c r="AJ20" s="15">
        <v>16257042</v>
      </c>
      <c r="AK20" s="15">
        <v>4191872</v>
      </c>
      <c r="AL20" s="15">
        <v>0</v>
      </c>
      <c r="AM20" s="15">
        <v>1350148</v>
      </c>
      <c r="AN20" s="15">
        <v>114210612</v>
      </c>
      <c r="AO20" s="15">
        <v>42342191</v>
      </c>
      <c r="AP20" s="15">
        <v>8486931</v>
      </c>
      <c r="AQ20" s="15">
        <v>171451754</v>
      </c>
      <c r="AR20" s="15">
        <v>78807953</v>
      </c>
      <c r="AS20" s="16">
        <v>51624098</v>
      </c>
      <c r="AT20" s="16">
        <v>15314928</v>
      </c>
      <c r="AU20" s="17">
        <v>0.52239263888796295</v>
      </c>
      <c r="AV20" s="17">
        <v>0.34401400040137098</v>
      </c>
      <c r="AW20" s="17">
        <v>0.58092687593912196</v>
      </c>
      <c r="AX20" s="17">
        <v>0.13359336071066499</v>
      </c>
      <c r="AY20" s="17">
        <v>0.44733351522845699</v>
      </c>
      <c r="AZ20" s="17">
        <f t="shared" si="1"/>
        <v>3.3054324267724394E-2</v>
      </c>
      <c r="BA20" s="17">
        <f t="shared" si="2"/>
        <v>6.2398096879004793E-2</v>
      </c>
    </row>
    <row r="21" spans="1:56" ht="15.6" x14ac:dyDescent="0.3">
      <c r="A21" s="14" t="s">
        <v>69</v>
      </c>
      <c r="B21" s="16">
        <v>43791</v>
      </c>
      <c r="C21" s="16">
        <v>2315891</v>
      </c>
      <c r="D21" s="16">
        <v>16449748</v>
      </c>
      <c r="E21" s="16">
        <v>44347044</v>
      </c>
      <c r="F21" s="16">
        <v>73911</v>
      </c>
      <c r="G21" s="16">
        <v>0</v>
      </c>
      <c r="H21" s="16">
        <v>1317885</v>
      </c>
      <c r="I21" s="16">
        <v>0</v>
      </c>
      <c r="J21" s="16">
        <v>0</v>
      </c>
      <c r="K21" s="16">
        <v>214539</v>
      </c>
      <c r="L21" s="16">
        <v>21004</v>
      </c>
      <c r="M21" s="16">
        <v>1179207</v>
      </c>
      <c r="N21" s="16">
        <v>441265</v>
      </c>
      <c r="O21" s="16">
        <v>451690</v>
      </c>
      <c r="P21" s="16">
        <v>5361500</v>
      </c>
      <c r="Q21" s="16">
        <v>39268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72256743</v>
      </c>
      <c r="Z21" s="16">
        <v>45640038</v>
      </c>
      <c r="AA21" s="16">
        <v>26616705</v>
      </c>
      <c r="AB21" s="16">
        <v>10325283</v>
      </c>
      <c r="AC21" s="16">
        <v>14072032</v>
      </c>
      <c r="AD21" s="16">
        <v>35314755</v>
      </c>
      <c r="AE21" s="15">
        <v>45640038</v>
      </c>
      <c r="AF21" s="15">
        <v>23497625</v>
      </c>
      <c r="AG21" s="15">
        <v>5894138</v>
      </c>
      <c r="AH21" s="15">
        <v>1054423</v>
      </c>
      <c r="AI21" s="15">
        <v>-14063232</v>
      </c>
      <c r="AJ21" s="15">
        <v>11468065</v>
      </c>
      <c r="AK21" s="15">
        <v>10279020</v>
      </c>
      <c r="AL21" s="15">
        <v>2493218</v>
      </c>
      <c r="AM21" s="15">
        <v>6908617</v>
      </c>
      <c r="AN21" s="15">
        <v>67562251</v>
      </c>
      <c r="AO21" s="15">
        <v>12749978</v>
      </c>
      <c r="AP21" s="15">
        <v>26944054</v>
      </c>
      <c r="AQ21" s="15">
        <v>126937138</v>
      </c>
      <c r="AR21" s="15">
        <v>56259436</v>
      </c>
      <c r="AS21" s="16">
        <v>33019593</v>
      </c>
      <c r="AT21" s="16">
        <v>9718900</v>
      </c>
      <c r="AU21" s="17">
        <v>0.35460947152294697</v>
      </c>
      <c r="AV21" s="17">
        <v>0.11244532199289201</v>
      </c>
      <c r="AW21" s="17">
        <v>0.74531032128933705</v>
      </c>
      <c r="AX21" s="17">
        <v>0.532945206484159</v>
      </c>
      <c r="AY21" s="17">
        <v>0.212365114805177</v>
      </c>
      <c r="AZ21" s="17">
        <f t="shared" si="1"/>
        <v>1.4298382440734709E-2</v>
      </c>
      <c r="BA21" s="17">
        <f t="shared" si="2"/>
        <v>1.8498721342011595E-2</v>
      </c>
    </row>
    <row r="22" spans="1:56" ht="15.6" x14ac:dyDescent="0.3">
      <c r="A22" s="14" t="s">
        <v>70</v>
      </c>
      <c r="B22" s="16"/>
      <c r="C22" s="16">
        <v>20611370</v>
      </c>
      <c r="D22" s="16">
        <v>76571549</v>
      </c>
      <c r="E22" s="16"/>
      <c r="F22" s="16"/>
      <c r="G22" s="16"/>
      <c r="H22" s="16"/>
      <c r="I22" s="16"/>
      <c r="J22" s="16"/>
      <c r="K22" s="16">
        <v>316618</v>
      </c>
      <c r="L22" s="16">
        <v>-46285</v>
      </c>
      <c r="M22" s="16"/>
      <c r="N22" s="16">
        <v>4378548</v>
      </c>
      <c r="O22" s="16"/>
      <c r="P22" s="16">
        <v>5192951</v>
      </c>
      <c r="Q22" s="16"/>
      <c r="R22" s="16">
        <v>5866107</v>
      </c>
      <c r="S22" s="16"/>
      <c r="T22" s="16"/>
      <c r="U22" s="16"/>
      <c r="V22" s="16"/>
      <c r="W22" s="16"/>
      <c r="X22" s="16"/>
      <c r="Y22" s="16">
        <v>112890858</v>
      </c>
      <c r="Z22" s="16">
        <v>70794608</v>
      </c>
      <c r="AA22" s="16">
        <v>42096250</v>
      </c>
      <c r="AB22" s="16">
        <v>42420158</v>
      </c>
      <c r="AC22" s="16">
        <v>57555550</v>
      </c>
      <c r="AD22" s="16">
        <v>28374450</v>
      </c>
      <c r="AE22" s="15">
        <v>70794608</v>
      </c>
      <c r="AF22" s="15">
        <v>62437677</v>
      </c>
      <c r="AG22" s="15">
        <v>10363051</v>
      </c>
      <c r="AH22" s="15">
        <v>-423341</v>
      </c>
      <c r="AI22" s="15">
        <v>-57276112</v>
      </c>
      <c r="AJ22" s="15">
        <v>10442354</v>
      </c>
      <c r="AK22" s="15">
        <v>17541063</v>
      </c>
      <c r="AL22" s="15">
        <v>0</v>
      </c>
      <c r="AM22" s="15">
        <v>28123932</v>
      </c>
      <c r="AN22" s="15">
        <v>70498989</v>
      </c>
      <c r="AO22" s="15">
        <v>5526824</v>
      </c>
      <c r="AP22" s="15">
        <v>31748459</v>
      </c>
      <c r="AQ22" s="15">
        <v>154544001</v>
      </c>
      <c r="AR22" s="15">
        <v>84533187</v>
      </c>
      <c r="AS22" s="16">
        <v>61294349</v>
      </c>
      <c r="AT22" s="16">
        <v>0</v>
      </c>
      <c r="AU22" s="17">
        <v>0.553080011137837</v>
      </c>
      <c r="AV22" s="17">
        <v>0.19557589862590999</v>
      </c>
      <c r="AW22" s="17">
        <v>0.76117766772576001</v>
      </c>
      <c r="AX22" s="17">
        <v>0.25134409023625198</v>
      </c>
      <c r="AY22" s="17">
        <v>0.50983357748950697</v>
      </c>
      <c r="AZ22" s="17">
        <f t="shared" si="1"/>
        <v>2.2339183787271944E-2</v>
      </c>
      <c r="BA22" s="17">
        <f t="shared" si="2"/>
        <v>4.9154635332954992E-2</v>
      </c>
    </row>
    <row r="23" spans="1:56" ht="15.6" x14ac:dyDescent="0.3">
      <c r="A23" s="14" t="s">
        <v>71</v>
      </c>
      <c r="B23" s="16">
        <v>3342093</v>
      </c>
      <c r="C23" s="16">
        <v>4722217</v>
      </c>
      <c r="D23" s="16">
        <v>44218951</v>
      </c>
      <c r="E23" s="16">
        <v>12236496</v>
      </c>
      <c r="F23" s="16">
        <v>222110</v>
      </c>
      <c r="G23" s="16">
        <v>5020220</v>
      </c>
      <c r="H23" s="16">
        <v>1102615</v>
      </c>
      <c r="I23" s="16">
        <v>470748</v>
      </c>
      <c r="J23" s="16">
        <v>388592</v>
      </c>
      <c r="K23" s="16">
        <v>514317</v>
      </c>
      <c r="L23" s="16">
        <v>303283</v>
      </c>
      <c r="M23" s="16">
        <v>3439867</v>
      </c>
      <c r="N23" s="16">
        <v>422482</v>
      </c>
      <c r="O23" s="16">
        <v>13218217</v>
      </c>
      <c r="P23" s="16">
        <v>6701683</v>
      </c>
      <c r="Q23" s="16">
        <v>252129</v>
      </c>
      <c r="R23" s="16">
        <v>0</v>
      </c>
      <c r="S23" s="16">
        <v>10848260</v>
      </c>
      <c r="T23" s="16"/>
      <c r="U23" s="16"/>
      <c r="V23" s="16"/>
      <c r="W23" s="16">
        <v>68145</v>
      </c>
      <c r="X23" s="16"/>
      <c r="Y23" s="16">
        <v>107492425</v>
      </c>
      <c r="Z23" s="16">
        <v>69487027</v>
      </c>
      <c r="AA23" s="16">
        <v>38005398</v>
      </c>
      <c r="AB23" s="16">
        <v>58900848</v>
      </c>
      <c r="AC23" s="16">
        <v>1215305</v>
      </c>
      <c r="AD23" s="16">
        <v>10586179</v>
      </c>
      <c r="AE23" s="15">
        <v>69487027</v>
      </c>
      <c r="AF23" s="15">
        <v>18951409</v>
      </c>
      <c r="AG23" s="15">
        <v>8836020</v>
      </c>
      <c r="AH23" s="15">
        <v>-251466</v>
      </c>
      <c r="AI23" s="15">
        <v>-3561574</v>
      </c>
      <c r="AJ23" s="15">
        <v>18192073</v>
      </c>
      <c r="AK23" s="15">
        <v>64035611</v>
      </c>
      <c r="AL23" s="15">
        <v>0</v>
      </c>
      <c r="AM23" s="15">
        <v>18322976</v>
      </c>
      <c r="AN23" s="15">
        <v>56054063</v>
      </c>
      <c r="AO23" s="15">
        <v>9215152</v>
      </c>
      <c r="AP23" s="15">
        <v>18114450</v>
      </c>
      <c r="AQ23" s="15">
        <v>165742252</v>
      </c>
      <c r="AR23" s="15">
        <v>94740641</v>
      </c>
      <c r="AS23" s="16">
        <v>64053489</v>
      </c>
      <c r="AT23" s="16">
        <v>0</v>
      </c>
      <c r="AU23" s="17">
        <v>0.220808329328882</v>
      </c>
      <c r="AV23" s="17">
        <v>0.65584904749378503</v>
      </c>
      <c r="AW23" s="17">
        <v>0.13750249206491899</v>
      </c>
      <c r="AX23" s="17">
        <v>0.12334262317733199</v>
      </c>
      <c r="AY23" s="17">
        <v>1.4159868887586999E-2</v>
      </c>
      <c r="AZ23" s="17">
        <f t="shared" si="1"/>
        <v>2.1270925567901569E-2</v>
      </c>
      <c r="BA23" s="17">
        <f t="shared" si="2"/>
        <v>1.4919670993536182E-2</v>
      </c>
    </row>
    <row r="24" spans="1:56" ht="15.6" x14ac:dyDescent="0.3">
      <c r="A24" s="14" t="s">
        <v>83</v>
      </c>
      <c r="B24" s="16"/>
      <c r="C24" s="16">
        <v>49048749</v>
      </c>
      <c r="D24" s="16">
        <v>76028587</v>
      </c>
      <c r="E24" s="16"/>
      <c r="F24" s="16"/>
      <c r="G24" s="16"/>
      <c r="H24" s="16">
        <v>20939688</v>
      </c>
      <c r="I24" s="16"/>
      <c r="J24" s="16">
        <v>2089468</v>
      </c>
      <c r="K24" s="16">
        <v>697294</v>
      </c>
      <c r="L24" s="16">
        <v>6656773</v>
      </c>
      <c r="M24" s="16"/>
      <c r="N24" s="16">
        <v>3391398</v>
      </c>
      <c r="O24" s="16"/>
      <c r="P24" s="16">
        <v>13217692</v>
      </c>
      <c r="Q24" s="16">
        <v>19612226</v>
      </c>
      <c r="R24" s="16"/>
      <c r="S24" s="16"/>
      <c r="T24" s="16"/>
      <c r="U24" s="16"/>
      <c r="V24" s="16"/>
      <c r="W24" s="16"/>
      <c r="X24" s="16"/>
      <c r="Y24" s="16">
        <v>191681875</v>
      </c>
      <c r="Z24" s="16">
        <v>91299253</v>
      </c>
      <c r="AA24" s="16">
        <v>100382622</v>
      </c>
      <c r="AB24" s="16">
        <v>66602975</v>
      </c>
      <c r="AC24" s="16">
        <v>48693537</v>
      </c>
      <c r="AD24" s="16">
        <v>24696278</v>
      </c>
      <c r="AE24" s="15">
        <v>91299253</v>
      </c>
      <c r="AF24" s="15">
        <v>53809884</v>
      </c>
      <c r="AG24" s="15">
        <v>28793636</v>
      </c>
      <c r="AH24" s="15">
        <v>0</v>
      </c>
      <c r="AI24" s="15">
        <v>-48693537</v>
      </c>
      <c r="AJ24" s="15">
        <v>33909983</v>
      </c>
      <c r="AK24" s="15">
        <v>39109732</v>
      </c>
      <c r="AL24" s="15">
        <v>4332828</v>
      </c>
      <c r="AM24" s="15">
        <v>89462756</v>
      </c>
      <c r="AN24" s="15">
        <v>197067592</v>
      </c>
      <c r="AO24" s="15">
        <v>24321400</v>
      </c>
      <c r="AP24" s="15">
        <v>4550256</v>
      </c>
      <c r="AQ24" s="15">
        <v>359329607</v>
      </c>
      <c r="AR24" s="15">
        <v>174710190</v>
      </c>
      <c r="AS24" s="16">
        <v>126870876</v>
      </c>
      <c r="AT24" s="16">
        <v>4535697</v>
      </c>
      <c r="AU24" s="17">
        <v>0.567232442805642</v>
      </c>
      <c r="AV24" s="17">
        <v>0.172433784719633</v>
      </c>
      <c r="AW24" s="17">
        <v>0.773632666435486</v>
      </c>
      <c r="AX24" s="17">
        <v>0.260333772474723</v>
      </c>
      <c r="AY24" s="17">
        <v>0.513298893960763</v>
      </c>
      <c r="AZ24" s="17">
        <f t="shared" si="1"/>
        <v>3.7930588093447633E-2</v>
      </c>
      <c r="BA24" s="17">
        <f t="shared" si="2"/>
        <v>4.2362325961111745E-2</v>
      </c>
    </row>
    <row r="25" spans="1:56" ht="15.6" x14ac:dyDescent="0.3">
      <c r="A25" s="14" t="s">
        <v>73</v>
      </c>
      <c r="B25" s="16">
        <v>188591</v>
      </c>
      <c r="C25" s="16">
        <v>7974412</v>
      </c>
      <c r="D25" s="16">
        <v>25031695</v>
      </c>
      <c r="E25" s="16">
        <v>9194688</v>
      </c>
      <c r="F25" s="16">
        <v>25496451</v>
      </c>
      <c r="G25" s="16">
        <v>37553</v>
      </c>
      <c r="H25" s="16">
        <v>266336</v>
      </c>
      <c r="I25" s="16">
        <v>83094</v>
      </c>
      <c r="J25" s="16">
        <v>5659</v>
      </c>
      <c r="K25" s="16">
        <v>1986793</v>
      </c>
      <c r="L25" s="16">
        <v>210863</v>
      </c>
      <c r="M25" s="16">
        <v>2020667</v>
      </c>
      <c r="N25" s="16">
        <v>16631884</v>
      </c>
      <c r="O25" s="16"/>
      <c r="P25" s="16">
        <v>2921422</v>
      </c>
      <c r="Q25" s="16">
        <v>9194611</v>
      </c>
      <c r="R25" s="16">
        <v>4073250</v>
      </c>
      <c r="S25" s="16"/>
      <c r="T25" s="16"/>
      <c r="U25" s="16"/>
      <c r="V25" s="16"/>
      <c r="W25" s="16"/>
      <c r="X25" s="16"/>
      <c r="Y25" s="16">
        <v>105317969</v>
      </c>
      <c r="Z25" s="16">
        <v>15066499</v>
      </c>
      <c r="AA25" s="16">
        <v>90251470</v>
      </c>
      <c r="AB25" s="16">
        <v>1720900</v>
      </c>
      <c r="AC25" s="16">
        <v>54283542</v>
      </c>
      <c r="AD25" s="16">
        <v>13345599</v>
      </c>
      <c r="AE25" s="15">
        <v>15066499</v>
      </c>
      <c r="AF25" s="15">
        <v>59273580</v>
      </c>
      <c r="AG25" s="15">
        <v>9434090</v>
      </c>
      <c r="AH25" s="15">
        <v>-448603</v>
      </c>
      <c r="AI25" s="15">
        <v>-54283542</v>
      </c>
      <c r="AJ25" s="15">
        <v>9782867.0000000391</v>
      </c>
      <c r="AK25" s="15">
        <v>1243785</v>
      </c>
      <c r="AL25" s="15">
        <v>0</v>
      </c>
      <c r="AM25" s="15">
        <v>26569029</v>
      </c>
      <c r="AN25" s="15">
        <v>65377235</v>
      </c>
      <c r="AO25" s="15">
        <v>32924648</v>
      </c>
      <c r="AP25" s="15">
        <v>6310197</v>
      </c>
      <c r="AQ25" s="15">
        <v>132879226</v>
      </c>
      <c r="AR25" s="15">
        <v>56742358</v>
      </c>
      <c r="AS25" s="16">
        <v>41556247</v>
      </c>
      <c r="AT25" s="16">
        <v>0</v>
      </c>
      <c r="AU25" s="17">
        <v>0.82515090704598104</v>
      </c>
      <c r="AV25" s="17">
        <v>-1.09357562135525E-2</v>
      </c>
      <c r="AW25" s="17">
        <v>0.941469150992576</v>
      </c>
      <c r="AX25" s="17">
        <v>0.18578484916756999</v>
      </c>
      <c r="AY25" s="17">
        <v>0.75568430182500501</v>
      </c>
      <c r="AZ25" s="17">
        <f t="shared" si="1"/>
        <v>2.0840637650155952E-2</v>
      </c>
      <c r="BA25" s="17">
        <f t="shared" si="2"/>
        <v>4.666367087581965E-2</v>
      </c>
    </row>
    <row r="26" spans="1:56" ht="15.6" x14ac:dyDescent="0.3">
      <c r="A26" s="14" t="s">
        <v>74</v>
      </c>
      <c r="B26" s="16">
        <v>3546931</v>
      </c>
      <c r="C26" s="16">
        <v>172994944</v>
      </c>
      <c r="D26" s="16">
        <v>124591276</v>
      </c>
      <c r="E26" s="16">
        <v>49748974</v>
      </c>
      <c r="F26" s="16">
        <v>779103</v>
      </c>
      <c r="G26" s="16">
        <v>0</v>
      </c>
      <c r="H26" s="16">
        <v>11050109</v>
      </c>
      <c r="I26" s="16">
        <v>1547451</v>
      </c>
      <c r="J26" s="16">
        <v>1323293</v>
      </c>
      <c r="K26" s="16">
        <v>4071180</v>
      </c>
      <c r="L26" s="16">
        <v>6483188</v>
      </c>
      <c r="M26" s="16">
        <v>18132226</v>
      </c>
      <c r="N26" s="16">
        <v>4177873</v>
      </c>
      <c r="O26" s="16">
        <v>8344836</v>
      </c>
      <c r="P26" s="16">
        <v>74047791</v>
      </c>
      <c r="Q26" s="16">
        <v>1583817</v>
      </c>
      <c r="R26" s="16">
        <v>6678319</v>
      </c>
      <c r="S26" s="16">
        <v>23968256</v>
      </c>
      <c r="T26" s="16"/>
      <c r="U26" s="16"/>
      <c r="V26" s="16"/>
      <c r="W26" s="16"/>
      <c r="X26" s="16"/>
      <c r="Y26" s="16">
        <v>513069567</v>
      </c>
      <c r="Z26" s="16">
        <v>142417053</v>
      </c>
      <c r="AA26" s="16">
        <v>370652514</v>
      </c>
      <c r="AB26" s="16">
        <v>86723456</v>
      </c>
      <c r="AC26" s="16">
        <v>177018122</v>
      </c>
      <c r="AD26" s="16">
        <v>55693597</v>
      </c>
      <c r="AE26" s="15">
        <v>142417053</v>
      </c>
      <c r="AF26" s="15">
        <v>211272124</v>
      </c>
      <c r="AG26" s="15">
        <v>35411281</v>
      </c>
      <c r="AH26" s="15">
        <v>-1987846</v>
      </c>
      <c r="AI26" s="15">
        <v>-164150908</v>
      </c>
      <c r="AJ26" s="15">
        <v>56381256</v>
      </c>
      <c r="AK26" s="15">
        <v>116350211</v>
      </c>
      <c r="AL26" s="15">
        <v>0</v>
      </c>
      <c r="AM26" s="15">
        <v>-25552907</v>
      </c>
      <c r="AN26" s="15">
        <v>642964537</v>
      </c>
      <c r="AO26" s="15">
        <v>28352938</v>
      </c>
      <c r="AP26" s="15">
        <v>153257857</v>
      </c>
      <c r="AQ26" s="15">
        <v>915385706</v>
      </c>
      <c r="AR26" s="15">
        <v>382385990</v>
      </c>
      <c r="AS26" s="16">
        <v>159459840</v>
      </c>
      <c r="AT26" s="16">
        <v>0</v>
      </c>
      <c r="AU26" s="17">
        <v>0.68019008016407101</v>
      </c>
      <c r="AV26" s="17">
        <v>0.14050452217705101</v>
      </c>
      <c r="AW26" s="17">
        <v>0.74921480318780198</v>
      </c>
      <c r="AX26" s="17">
        <v>0.17930539765887599</v>
      </c>
      <c r="AY26" s="17">
        <v>0.56990940552892499</v>
      </c>
      <c r="AZ26" s="17">
        <f t="shared" si="1"/>
        <v>0.10152775482377002</v>
      </c>
      <c r="BA26" s="17">
        <f t="shared" si="2"/>
        <v>0.16632592226707679</v>
      </c>
    </row>
    <row r="27" spans="1:56" ht="15.6" x14ac:dyDescent="0.3">
      <c r="A27" s="14" t="s">
        <v>75</v>
      </c>
      <c r="B27" s="16">
        <v>1654644</v>
      </c>
      <c r="C27" s="16">
        <v>189055087</v>
      </c>
      <c r="D27" s="16">
        <v>110247642</v>
      </c>
      <c r="E27" s="16">
        <v>42326689</v>
      </c>
      <c r="F27" s="16">
        <v>351094</v>
      </c>
      <c r="G27" s="16">
        <v>0</v>
      </c>
      <c r="H27" s="16">
        <v>17169357</v>
      </c>
      <c r="I27" s="16">
        <v>2489612</v>
      </c>
      <c r="J27" s="16">
        <v>5981359</v>
      </c>
      <c r="K27" s="16">
        <v>7720746</v>
      </c>
      <c r="L27" s="16">
        <v>11241801</v>
      </c>
      <c r="M27" s="16">
        <v>9542618</v>
      </c>
      <c r="N27" s="16">
        <v>67101919</v>
      </c>
      <c r="O27" s="16">
        <v>19673344</v>
      </c>
      <c r="P27" s="16">
        <v>21319640</v>
      </c>
      <c r="Q27" s="16">
        <v>4580427</v>
      </c>
      <c r="R27" s="16">
        <v>540552</v>
      </c>
      <c r="S27" s="16">
        <v>2410222</v>
      </c>
      <c r="T27" s="16"/>
      <c r="U27" s="16"/>
      <c r="V27" s="16"/>
      <c r="W27" s="16"/>
      <c r="X27" s="16"/>
      <c r="Y27" s="16">
        <v>513406753</v>
      </c>
      <c r="Z27" s="16">
        <v>154253419</v>
      </c>
      <c r="AA27" s="16">
        <v>359153334</v>
      </c>
      <c r="AB27" s="16">
        <v>82487646</v>
      </c>
      <c r="AC27" s="16">
        <v>107564139</v>
      </c>
      <c r="AD27" s="16">
        <v>71765773</v>
      </c>
      <c r="AE27" s="15">
        <v>154253419</v>
      </c>
      <c r="AF27" s="15">
        <v>129049229</v>
      </c>
      <c r="AG27" s="15">
        <v>35657484</v>
      </c>
      <c r="AH27" s="15">
        <v>-4633537</v>
      </c>
      <c r="AI27" s="15">
        <v>-103158130</v>
      </c>
      <c r="AJ27" s="15">
        <v>52749753</v>
      </c>
      <c r="AK27" s="15">
        <v>11840716</v>
      </c>
      <c r="AL27" s="15">
        <v>0</v>
      </c>
      <c r="AM27" s="15">
        <v>124471841</v>
      </c>
      <c r="AN27" s="15">
        <v>834343120</v>
      </c>
      <c r="AO27" s="15">
        <v>125364964</v>
      </c>
      <c r="AP27" s="15">
        <v>19209360</v>
      </c>
      <c r="AQ27" s="15">
        <v>1115569148</v>
      </c>
      <c r="AR27" s="15">
        <v>419729136</v>
      </c>
      <c r="AS27" s="16">
        <v>268439098</v>
      </c>
      <c r="AT27" s="16">
        <v>0</v>
      </c>
      <c r="AU27" s="17">
        <v>0.56992258073297397</v>
      </c>
      <c r="AV27" s="17">
        <v>0.11313686198204601</v>
      </c>
      <c r="AW27" s="17">
        <v>0.791978123710117</v>
      </c>
      <c r="AX27" s="17">
        <v>0.316940557284978</v>
      </c>
      <c r="AY27" s="17">
        <v>0.475037566425138</v>
      </c>
      <c r="AZ27" s="17">
        <f t="shared" si="1"/>
        <v>0.10159447820738089</v>
      </c>
      <c r="BA27" s="17">
        <f t="shared" si="2"/>
        <v>0.10159519213845832</v>
      </c>
    </row>
    <row r="28" spans="1:56" ht="15.6" x14ac:dyDescent="0.3">
      <c r="A28" s="14" t="s">
        <v>76</v>
      </c>
      <c r="B28" s="16">
        <v>23851198</v>
      </c>
      <c r="C28" s="16"/>
      <c r="D28" s="16">
        <v>80251906</v>
      </c>
      <c r="E28" s="16"/>
      <c r="F28" s="16"/>
      <c r="G28" s="16"/>
      <c r="H28" s="16">
        <v>9273212</v>
      </c>
      <c r="I28" s="16"/>
      <c r="J28" s="16"/>
      <c r="K28" s="16"/>
      <c r="L28" s="16"/>
      <c r="M28" s="16"/>
      <c r="N28" s="16">
        <v>5873105</v>
      </c>
      <c r="O28" s="16"/>
      <c r="P28" s="16">
        <v>3327004</v>
      </c>
      <c r="Q28" s="16">
        <v>754325</v>
      </c>
      <c r="R28" s="16"/>
      <c r="S28" s="16"/>
      <c r="T28" s="16"/>
      <c r="U28" s="16"/>
      <c r="V28" s="16"/>
      <c r="W28" s="16"/>
      <c r="X28" s="16"/>
      <c r="Y28" s="16">
        <v>123330750</v>
      </c>
      <c r="Z28" s="16">
        <v>76384205</v>
      </c>
      <c r="AA28" s="16">
        <v>46946545</v>
      </c>
      <c r="AB28" s="16">
        <v>15251844</v>
      </c>
      <c r="AC28" s="16">
        <v>11376360</v>
      </c>
      <c r="AD28" s="16">
        <v>61132361</v>
      </c>
      <c r="AE28" s="15">
        <v>76384205</v>
      </c>
      <c r="AF28" s="15">
        <v>23982783</v>
      </c>
      <c r="AG28" s="15">
        <v>18225857</v>
      </c>
      <c r="AH28" s="15">
        <v>0</v>
      </c>
      <c r="AI28" s="15">
        <v>-10862630</v>
      </c>
      <c r="AJ28" s="15">
        <v>21723852</v>
      </c>
      <c r="AK28" s="15">
        <v>11922064</v>
      </c>
      <c r="AL28" s="15">
        <v>0</v>
      </c>
      <c r="AM28" s="15">
        <v>18088410</v>
      </c>
      <c r="AN28" s="15">
        <v>125045181</v>
      </c>
      <c r="AO28" s="15">
        <v>10140294</v>
      </c>
      <c r="AP28" s="15">
        <v>15089350</v>
      </c>
      <c r="AQ28" s="15">
        <v>180285299</v>
      </c>
      <c r="AR28" s="15">
        <v>90421857</v>
      </c>
      <c r="AS28" s="16">
        <v>70742384</v>
      </c>
      <c r="AT28" s="16">
        <v>0</v>
      </c>
      <c r="AU28" s="17">
        <v>0.24469157420819901</v>
      </c>
      <c r="AV28" s="17">
        <v>0.13158708168615901</v>
      </c>
      <c r="AW28" s="17">
        <v>0.73979208690305498</v>
      </c>
      <c r="AX28" s="17">
        <v>0.62372134410564095</v>
      </c>
      <c r="AY28" s="17">
        <v>0.116070742797413</v>
      </c>
      <c r="AZ28" s="17">
        <f t="shared" si="1"/>
        <v>2.440506113322382E-2</v>
      </c>
      <c r="BA28" s="17">
        <f t="shared" si="2"/>
        <v>1.8880666438541464E-2</v>
      </c>
    </row>
    <row r="29" spans="1:56" ht="15.6" x14ac:dyDescent="0.3">
      <c r="A29" s="14" t="s">
        <v>77</v>
      </c>
      <c r="B29" s="16">
        <v>626284</v>
      </c>
      <c r="C29" s="16">
        <v>3195619</v>
      </c>
      <c r="D29" s="16">
        <v>32131022</v>
      </c>
      <c r="E29" s="16">
        <v>12502687</v>
      </c>
      <c r="F29" s="16">
        <v>16804</v>
      </c>
      <c r="G29" s="16"/>
      <c r="H29" s="16">
        <v>224710</v>
      </c>
      <c r="I29" s="16">
        <v>26261</v>
      </c>
      <c r="J29" s="16">
        <v>1748129</v>
      </c>
      <c r="K29" s="16">
        <v>487001</v>
      </c>
      <c r="L29" s="16">
        <v>218908</v>
      </c>
      <c r="M29" s="16">
        <v>462766</v>
      </c>
      <c r="N29" s="16">
        <v>273554</v>
      </c>
      <c r="O29" s="16">
        <v>195205</v>
      </c>
      <c r="P29" s="16">
        <v>591981</v>
      </c>
      <c r="Q29" s="16">
        <v>301980</v>
      </c>
      <c r="R29" s="16">
        <v>19378</v>
      </c>
      <c r="S29" s="16"/>
      <c r="T29" s="16"/>
      <c r="U29" s="16"/>
      <c r="V29" s="16"/>
      <c r="W29" s="16"/>
      <c r="X29" s="16"/>
      <c r="Y29" s="16">
        <v>53022289</v>
      </c>
      <c r="Z29" s="16">
        <v>28383562</v>
      </c>
      <c r="AA29" s="16">
        <v>24638727</v>
      </c>
      <c r="AB29" s="16">
        <v>10932821</v>
      </c>
      <c r="AC29" s="16">
        <v>16469179</v>
      </c>
      <c r="AD29" s="16">
        <v>17450741</v>
      </c>
      <c r="AE29" s="15">
        <v>28383562</v>
      </c>
      <c r="AF29" s="15">
        <v>12451077</v>
      </c>
      <c r="AG29" s="15">
        <v>16970341</v>
      </c>
      <c r="AH29" s="15">
        <v>-165002</v>
      </c>
      <c r="AI29" s="15">
        <v>-8503833.7999999896</v>
      </c>
      <c r="AJ29" s="15">
        <v>16233910.199999999</v>
      </c>
      <c r="AK29" s="15">
        <v>1590342</v>
      </c>
      <c r="AL29" s="15">
        <v>0</v>
      </c>
      <c r="AM29" s="15">
        <v>7934892</v>
      </c>
      <c r="AN29" s="15">
        <v>88284245</v>
      </c>
      <c r="AO29" s="15">
        <v>22987938</v>
      </c>
      <c r="AP29" s="15">
        <v>4984124</v>
      </c>
      <c r="AQ29" s="15">
        <v>126511009</v>
      </c>
      <c r="AR29" s="15">
        <v>40887548.609999999</v>
      </c>
      <c r="AS29" s="16">
        <v>27836234</v>
      </c>
      <c r="AT29" s="16">
        <v>0</v>
      </c>
      <c r="AU29" s="17">
        <v>0.31709221387443398</v>
      </c>
      <c r="AV29" s="17">
        <v>0.238488873814658</v>
      </c>
      <c r="AW29" s="17">
        <v>0.86384033503637403</v>
      </c>
      <c r="AX29" s="17">
        <v>0.44441891231090702</v>
      </c>
      <c r="AY29" s="17">
        <v>0.41942142272546701</v>
      </c>
      <c r="AZ29" s="17">
        <f t="shared" si="1"/>
        <v>1.0492210616317997E-2</v>
      </c>
      <c r="BA29" s="17">
        <f t="shared" si="2"/>
        <v>9.8022248559558548E-3</v>
      </c>
    </row>
    <row r="30" spans="1:56" ht="15.6" x14ac:dyDescent="0.3">
      <c r="A30" s="14" t="s">
        <v>78</v>
      </c>
      <c r="B30" s="16">
        <v>5081131</v>
      </c>
      <c r="C30" s="16">
        <v>35355330</v>
      </c>
      <c r="D30" s="16">
        <v>176495104</v>
      </c>
      <c r="E30" s="16">
        <v>35899435</v>
      </c>
      <c r="F30" s="16">
        <v>470186</v>
      </c>
      <c r="G30" s="16">
        <v>0</v>
      </c>
      <c r="H30" s="16">
        <v>5423918</v>
      </c>
      <c r="I30" s="16">
        <v>1023494</v>
      </c>
      <c r="J30" s="16">
        <v>4193060</v>
      </c>
      <c r="K30" s="16">
        <v>3620791</v>
      </c>
      <c r="L30" s="16">
        <v>31186</v>
      </c>
      <c r="M30" s="16">
        <v>16914463</v>
      </c>
      <c r="N30" s="16">
        <v>1691572</v>
      </c>
      <c r="O30" s="16">
        <v>14486367</v>
      </c>
      <c r="P30" s="16">
        <v>9847003</v>
      </c>
      <c r="Q30" s="16">
        <v>3982300</v>
      </c>
      <c r="R30" s="16">
        <v>39349</v>
      </c>
      <c r="S30" s="16">
        <v>0</v>
      </c>
      <c r="T30" s="16">
        <v>0</v>
      </c>
      <c r="U30" s="16">
        <v>0</v>
      </c>
      <c r="V30" s="16">
        <v>0</v>
      </c>
      <c r="W30" s="16">
        <v>57939</v>
      </c>
      <c r="X30" s="16">
        <v>0</v>
      </c>
      <c r="Y30" s="16">
        <v>314612628</v>
      </c>
      <c r="Z30" s="16">
        <v>159459388</v>
      </c>
      <c r="AA30" s="16">
        <v>155153240</v>
      </c>
      <c r="AB30" s="16">
        <v>104554915</v>
      </c>
      <c r="AC30" s="16">
        <v>94269284</v>
      </c>
      <c r="AD30" s="16">
        <v>54904473</v>
      </c>
      <c r="AE30" s="15">
        <v>159459388</v>
      </c>
      <c r="AF30" s="15">
        <v>118872878</v>
      </c>
      <c r="AG30" s="15">
        <v>32752362.999999899</v>
      </c>
      <c r="AH30" s="15">
        <v>0</v>
      </c>
      <c r="AI30" s="15">
        <v>-91532948</v>
      </c>
      <c r="AJ30" s="15">
        <v>49442293</v>
      </c>
      <c r="AK30" s="15">
        <v>87533056</v>
      </c>
      <c r="AL30" s="15">
        <v>0</v>
      </c>
      <c r="AM30" s="15">
        <v>41279638</v>
      </c>
      <c r="AN30" s="15">
        <v>200371175</v>
      </c>
      <c r="AO30" s="15">
        <v>45717862</v>
      </c>
      <c r="AP30" s="15">
        <v>47022132</v>
      </c>
      <c r="AQ30" s="15">
        <v>421923863</v>
      </c>
      <c r="AR30" s="15">
        <v>244881185</v>
      </c>
      <c r="AS30" s="16">
        <v>142591433</v>
      </c>
      <c r="AT30" s="16">
        <v>0</v>
      </c>
      <c r="AU30" s="17">
        <v>0.48464884926123403</v>
      </c>
      <c r="AV30" s="17">
        <v>0.291503708778585</v>
      </c>
      <c r="AW30" s="17">
        <v>0.60818658458008401</v>
      </c>
      <c r="AX30" s="17">
        <v>0.223847441960179</v>
      </c>
      <c r="AY30" s="17">
        <v>0.38433914261990398</v>
      </c>
      <c r="AZ30" s="17">
        <f t="shared" si="1"/>
        <v>6.2256496612760434E-2</v>
      </c>
      <c r="BA30" s="17">
        <f t="shared" si="2"/>
        <v>9.3583766242117686E-2</v>
      </c>
    </row>
    <row r="31" spans="1:56" ht="15.6" x14ac:dyDescent="0.3">
      <c r="A31" s="19" t="s">
        <v>79</v>
      </c>
      <c r="B31" s="28">
        <f t="shared" ref="B31:AR31" si="3">SUM(B6:B30)</f>
        <v>63086131.933151603</v>
      </c>
      <c r="C31" s="28">
        <f t="shared" si="3"/>
        <v>1504527519.464467</v>
      </c>
      <c r="D31" s="28">
        <f t="shared" si="3"/>
        <v>1474000297.7188561</v>
      </c>
      <c r="E31" s="28">
        <f t="shared" si="3"/>
        <v>436683021.28892559</v>
      </c>
      <c r="F31" s="28">
        <f t="shared" si="3"/>
        <v>32170829.812294941</v>
      </c>
      <c r="G31" s="28">
        <f t="shared" si="3"/>
        <v>85475555</v>
      </c>
      <c r="H31" s="28">
        <f t="shared" si="3"/>
        <v>175515963.82978451</v>
      </c>
      <c r="I31" s="28">
        <f t="shared" si="3"/>
        <v>15490111.901952099</v>
      </c>
      <c r="J31" s="28">
        <f t="shared" si="3"/>
        <v>23153671.01025581</v>
      </c>
      <c r="K31" s="28">
        <f t="shared" si="3"/>
        <v>53527794.095955402</v>
      </c>
      <c r="L31" s="28">
        <f t="shared" si="3"/>
        <v>55676274.645604864</v>
      </c>
      <c r="M31" s="28">
        <f t="shared" si="3"/>
        <v>205962273.12247011</v>
      </c>
      <c r="N31" s="28">
        <f t="shared" si="3"/>
        <v>229970731.08302304</v>
      </c>
      <c r="O31" s="28">
        <f t="shared" si="3"/>
        <v>145506504.2115564</v>
      </c>
      <c r="P31" s="28">
        <f t="shared" si="3"/>
        <v>300967862.83491176</v>
      </c>
      <c r="Q31" s="28">
        <f t="shared" si="3"/>
        <v>152033603.17934284</v>
      </c>
      <c r="R31" s="28">
        <f t="shared" si="3"/>
        <v>55180501.994141407</v>
      </c>
      <c r="S31" s="28">
        <f t="shared" si="3"/>
        <v>42061982.55330541</v>
      </c>
      <c r="T31" s="28">
        <f t="shared" si="3"/>
        <v>410882</v>
      </c>
      <c r="U31" s="28">
        <f t="shared" si="3"/>
        <v>1963126</v>
      </c>
      <c r="V31" s="28">
        <f t="shared" si="3"/>
        <v>0</v>
      </c>
      <c r="W31" s="28">
        <f t="shared" si="3"/>
        <v>126084</v>
      </c>
      <c r="X31" s="28">
        <f t="shared" si="3"/>
        <v>0</v>
      </c>
      <c r="Y31" s="28">
        <f t="shared" si="3"/>
        <v>5053490721.7299995</v>
      </c>
      <c r="Z31" s="25">
        <f t="shared" si="3"/>
        <v>2732771503.0099993</v>
      </c>
      <c r="AA31" s="25">
        <f t="shared" si="3"/>
        <v>2320719218.6699991</v>
      </c>
      <c r="AB31" s="25">
        <f t="shared" si="3"/>
        <v>1779916483.2099991</v>
      </c>
      <c r="AC31" s="25">
        <f t="shared" si="3"/>
        <v>1039445952.12</v>
      </c>
      <c r="AD31" s="25">
        <f t="shared" si="3"/>
        <v>952855019.79999995</v>
      </c>
      <c r="AE31" s="25">
        <f t="shared" si="3"/>
        <v>2732771503.0100002</v>
      </c>
      <c r="AF31" s="25">
        <f t="shared" si="3"/>
        <v>1270229685.9099998</v>
      </c>
      <c r="AG31" s="25">
        <f t="shared" si="3"/>
        <v>424053438.9175542</v>
      </c>
      <c r="AH31" s="25">
        <f t="shared" si="3"/>
        <v>-17669208.66</v>
      </c>
      <c r="AI31" s="25">
        <f t="shared" si="3"/>
        <v>-917252046.5999999</v>
      </c>
      <c r="AJ31" s="25">
        <f t="shared" si="3"/>
        <v>585791105.56755435</v>
      </c>
      <c r="AK31" s="25">
        <f t="shared" si="3"/>
        <v>900280239.16999996</v>
      </c>
      <c r="AL31" s="25">
        <f t="shared" si="3"/>
        <v>9627888</v>
      </c>
      <c r="AM31" s="25">
        <f t="shared" si="3"/>
        <v>1170125109.4300001</v>
      </c>
      <c r="AN31" s="25">
        <f t="shared" si="3"/>
        <v>4093633269.059999</v>
      </c>
      <c r="AO31" s="25">
        <f t="shared" si="3"/>
        <v>589293390.43000007</v>
      </c>
      <c r="AP31" s="25">
        <f t="shared" si="3"/>
        <v>608421077.00999987</v>
      </c>
      <c r="AQ31" s="25">
        <f t="shared" si="3"/>
        <v>7388694362.71</v>
      </c>
      <c r="AR31" s="25">
        <f t="shared" si="3"/>
        <v>3792579469.7100005</v>
      </c>
      <c r="AS31" s="26">
        <f>SUM(AS6:AS30)</f>
        <v>2600766761.1700001</v>
      </c>
      <c r="AT31" s="26">
        <f>SUM(AT6:AT30)</f>
        <v>73889531</v>
      </c>
      <c r="AU31" s="27">
        <f>AVERAGE(AU6:AU30)</f>
        <v>0.41219957234006138</v>
      </c>
      <c r="AV31" s="27">
        <f>AVERAGE(AV6:AV30)</f>
        <v>0.28889254835837119</v>
      </c>
      <c r="AW31" s="27">
        <f>AVERAGE(AW6:AW30)</f>
        <v>0.74988591796412274</v>
      </c>
      <c r="AX31" s="27">
        <f>AVERAGE(AX6:AX30)</f>
        <v>0.29890787927089602</v>
      </c>
      <c r="AY31" s="27">
        <f>AVERAGE(AY6:AY30)</f>
        <v>0.45097803869322656</v>
      </c>
      <c r="AZ31" s="27">
        <f>SUM(AZ6:AZ30)</f>
        <v>0.99999999999999967</v>
      </c>
      <c r="BA31" s="27">
        <f>SUM(BA6:BA30)</f>
        <v>1</v>
      </c>
    </row>
  </sheetData>
  <mergeCells count="1">
    <mergeCell ref="Z1:BA1"/>
  </mergeCells>
  <dataValidations count="1">
    <dataValidation type="list" allowBlank="1" showInputMessage="1" showErrorMessage="1" sqref="A3" xr:uid="{954158CF-E86C-47C4-A833-DA5430625A44}">
      <formula1>$A$6:$A$30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F3BB-E41B-48F0-95FB-724998149822}">
  <dimension ref="A1:BD31"/>
  <sheetViews>
    <sheetView workbookViewId="0">
      <pane xSplit="1" topLeftCell="B1" activePane="topRight" state="frozen"/>
      <selection activeCell="AB38" sqref="AB38"/>
      <selection pane="topRight" activeCell="AB38" sqref="AB38"/>
    </sheetView>
  </sheetViews>
  <sheetFormatPr defaultRowHeight="13.2" x14ac:dyDescent="0.25"/>
  <cols>
    <col min="1" max="1" width="50.77734375" bestFit="1" customWidth="1"/>
    <col min="2" max="2" width="33.44140625" bestFit="1" customWidth="1"/>
    <col min="3" max="3" width="37.21875" bestFit="1" customWidth="1"/>
    <col min="4" max="4" width="21.77734375" bestFit="1" customWidth="1"/>
    <col min="5" max="5" width="17.77734375" bestFit="1" customWidth="1"/>
    <col min="6" max="6" width="30.21875" bestFit="1" customWidth="1"/>
    <col min="7" max="7" width="15.77734375" bestFit="1" customWidth="1"/>
    <col min="8" max="8" width="23.77734375" bestFit="1" customWidth="1"/>
    <col min="9" max="9" width="31.5546875" bestFit="1" customWidth="1"/>
    <col min="10" max="11" width="50.77734375" customWidth="1"/>
    <col min="12" max="12" width="18" bestFit="1" customWidth="1"/>
    <col min="13" max="13" width="16.21875" bestFit="1" customWidth="1"/>
    <col min="14" max="14" width="15.21875" bestFit="1" customWidth="1"/>
    <col min="15" max="15" width="19.44140625" bestFit="1" customWidth="1"/>
    <col min="16" max="16" width="15.21875" bestFit="1" customWidth="1"/>
    <col min="17" max="18" width="14.44140625" bestFit="1" customWidth="1"/>
    <col min="19" max="19" width="13.21875" bestFit="1" customWidth="1"/>
    <col min="20" max="20" width="25.44140625" bestFit="1" customWidth="1"/>
    <col min="21" max="21" width="21.77734375" bestFit="1" customWidth="1"/>
    <col min="22" max="22" width="25" bestFit="1" customWidth="1"/>
    <col min="23" max="23" width="13" bestFit="1" customWidth="1"/>
    <col min="24" max="24" width="23" bestFit="1" customWidth="1"/>
    <col min="25" max="25" width="27" bestFit="1" customWidth="1"/>
    <col min="26" max="27" width="20" bestFit="1" customWidth="1"/>
    <col min="28" max="28" width="17.77734375" customWidth="1"/>
    <col min="29" max="29" width="17.77734375" bestFit="1" customWidth="1"/>
    <col min="30" max="31" width="17.77734375" customWidth="1"/>
    <col min="32" max="32" width="16.21875" bestFit="1" customWidth="1"/>
    <col min="33" max="33" width="17.77734375" bestFit="1" customWidth="1"/>
    <col min="34" max="34" width="17" customWidth="1"/>
    <col min="35" max="37" width="17.77734375" bestFit="1" customWidth="1"/>
    <col min="38" max="39" width="20" bestFit="1" customWidth="1"/>
    <col min="40" max="40" width="14" bestFit="1" customWidth="1"/>
    <col min="41" max="42" width="13.77734375" bestFit="1" customWidth="1"/>
    <col min="43" max="43" width="17.77734375" bestFit="1" customWidth="1"/>
    <col min="44" max="44" width="17.77734375" customWidth="1"/>
    <col min="45" max="45" width="18.21875" customWidth="1"/>
    <col min="46" max="46" width="18.77734375" bestFit="1" customWidth="1"/>
    <col min="47" max="47" width="18.77734375" customWidth="1"/>
    <col min="48" max="51" width="13" customWidth="1"/>
    <col min="52" max="52" width="9.21875" bestFit="1" customWidth="1"/>
    <col min="53" max="53" width="11.21875" bestFit="1" customWidth="1"/>
  </cols>
  <sheetData>
    <row r="1" spans="1:53" ht="23.4" x14ac:dyDescent="0.45">
      <c r="A1" s="1" t="s">
        <v>87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53.4" x14ac:dyDescent="0.3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4" t="s">
        <v>85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86</v>
      </c>
    </row>
    <row r="3" spans="1:53" ht="15.6" x14ac:dyDescent="0.3">
      <c r="A3" s="7" t="s">
        <v>52</v>
      </c>
      <c r="B3" s="8">
        <f t="shared" ref="B3:BA3" si="0">INDEX(B6:B30,MATCH($A$3,$A$6:$A$30,0))</f>
        <v>311258</v>
      </c>
      <c r="C3" s="8">
        <f t="shared" si="0"/>
        <v>2416497</v>
      </c>
      <c r="D3" s="8">
        <f t="shared" si="0"/>
        <v>8666349</v>
      </c>
      <c r="E3" s="8">
        <f t="shared" si="0"/>
        <v>7140926</v>
      </c>
      <c r="F3" s="8">
        <f t="shared" si="0"/>
        <v>0</v>
      </c>
      <c r="G3" s="8">
        <f t="shared" si="0"/>
        <v>0</v>
      </c>
      <c r="H3" s="8">
        <f t="shared" si="0"/>
        <v>151645</v>
      </c>
      <c r="I3" s="8">
        <f t="shared" si="0"/>
        <v>27317</v>
      </c>
      <c r="J3" s="8">
        <f t="shared" si="0"/>
        <v>0</v>
      </c>
      <c r="K3" s="8">
        <f t="shared" si="0"/>
        <v>652526</v>
      </c>
      <c r="L3" s="8">
        <f t="shared" si="0"/>
        <v>68667</v>
      </c>
      <c r="M3" s="8">
        <f t="shared" si="0"/>
        <v>252187</v>
      </c>
      <c r="N3" s="8">
        <f t="shared" si="0"/>
        <v>488932</v>
      </c>
      <c r="O3" s="8">
        <f t="shared" si="0"/>
        <v>6489</v>
      </c>
      <c r="P3" s="8">
        <f t="shared" si="0"/>
        <v>1283734</v>
      </c>
      <c r="Q3" s="8">
        <f t="shared" si="0"/>
        <v>95142</v>
      </c>
      <c r="R3" s="8">
        <f t="shared" si="0"/>
        <v>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21561669</v>
      </c>
      <c r="Z3" s="8">
        <f t="shared" si="0"/>
        <v>9497913</v>
      </c>
      <c r="AA3" s="8">
        <f t="shared" si="0"/>
        <v>12063756</v>
      </c>
      <c r="AB3" s="8">
        <f t="shared" si="0"/>
        <v>-567617</v>
      </c>
      <c r="AC3" s="8">
        <f t="shared" si="0"/>
        <v>5598675</v>
      </c>
      <c r="AD3" s="8">
        <f t="shared" si="0"/>
        <v>10065530</v>
      </c>
      <c r="AE3" s="8">
        <f t="shared" si="0"/>
        <v>9497913</v>
      </c>
      <c r="AF3" s="8">
        <f t="shared" si="0"/>
        <v>9536859</v>
      </c>
      <c r="AG3" s="8">
        <f t="shared" si="0"/>
        <v>3591007</v>
      </c>
      <c r="AH3" s="8">
        <f t="shared" si="0"/>
        <v>0</v>
      </c>
      <c r="AI3" s="8">
        <f t="shared" si="0"/>
        <v>-5177992</v>
      </c>
      <c r="AJ3" s="8">
        <f t="shared" si="0"/>
        <v>5564912</v>
      </c>
      <c r="AK3" s="8">
        <f t="shared" si="0"/>
        <v>28722280</v>
      </c>
      <c r="AL3" s="8">
        <f t="shared" si="0"/>
        <v>0</v>
      </c>
      <c r="AM3" s="8">
        <f t="shared" si="0"/>
        <v>13114435</v>
      </c>
      <c r="AN3" s="8">
        <f t="shared" si="0"/>
        <v>65053373</v>
      </c>
      <c r="AO3" s="8">
        <f t="shared" si="0"/>
        <v>16906728</v>
      </c>
      <c r="AP3" s="8">
        <f t="shared" si="0"/>
        <v>13406417</v>
      </c>
      <c r="AQ3" s="8">
        <f t="shared" si="0"/>
        <v>137244467</v>
      </c>
      <c r="AR3" s="8">
        <f t="shared" si="0"/>
        <v>74139445</v>
      </c>
      <c r="AS3" s="8">
        <f t="shared" si="0"/>
        <v>55316827</v>
      </c>
      <c r="AT3" s="8">
        <f t="shared" si="0"/>
        <v>0</v>
      </c>
      <c r="AU3" s="9">
        <f t="shared" si="0"/>
        <v>0.512325513570004</v>
      </c>
      <c r="AV3" s="9">
        <f t="shared" si="0"/>
        <v>-5.30515352721481E-2</v>
      </c>
      <c r="AW3" s="9">
        <f t="shared" si="0"/>
        <v>0.84149004103875602</v>
      </c>
      <c r="AX3" s="9">
        <f t="shared" si="0"/>
        <v>0.54072602170214301</v>
      </c>
      <c r="AY3" s="9">
        <f t="shared" si="0"/>
        <v>0.30076401933661201</v>
      </c>
      <c r="AZ3" s="9">
        <f t="shared" si="0"/>
        <v>1.6577686282061289E-2</v>
      </c>
      <c r="BA3" s="9">
        <f t="shared" si="0"/>
        <v>2.6022168138724711E-2</v>
      </c>
    </row>
    <row r="4" spans="1:53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3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2" t="s">
        <v>85</v>
      </c>
      <c r="AS5" s="13" t="s">
        <v>44</v>
      </c>
      <c r="AT5" s="13" t="s">
        <v>45</v>
      </c>
      <c r="AU5" s="13" t="s">
        <v>46</v>
      </c>
      <c r="AV5" s="13" t="s">
        <v>47</v>
      </c>
      <c r="AW5" s="13" t="s">
        <v>48</v>
      </c>
      <c r="AX5" s="13" t="s">
        <v>49</v>
      </c>
      <c r="AY5" s="13" t="s">
        <v>50</v>
      </c>
      <c r="AZ5" s="13" t="s">
        <v>51</v>
      </c>
      <c r="BA5" s="13" t="s">
        <v>86</v>
      </c>
    </row>
    <row r="6" spans="1:53" ht="15.6" x14ac:dyDescent="0.3">
      <c r="A6" s="14" t="s">
        <v>54</v>
      </c>
      <c r="B6" s="16">
        <v>60515</v>
      </c>
      <c r="C6" s="16">
        <v>15441177</v>
      </c>
      <c r="D6" s="16">
        <v>3125902</v>
      </c>
      <c r="E6" s="16">
        <v>372523</v>
      </c>
      <c r="F6" s="16">
        <v>69551</v>
      </c>
      <c r="G6" s="16"/>
      <c r="H6" s="16">
        <v>2039622</v>
      </c>
      <c r="I6" s="16"/>
      <c r="J6" s="16">
        <v>35585</v>
      </c>
      <c r="K6" s="16">
        <v>359213</v>
      </c>
      <c r="L6" s="16"/>
      <c r="M6" s="16">
        <v>2385184</v>
      </c>
      <c r="N6" s="16">
        <v>14020</v>
      </c>
      <c r="O6" s="16">
        <v>205402</v>
      </c>
      <c r="P6" s="16">
        <v>215660</v>
      </c>
      <c r="Q6" s="16">
        <v>2373029</v>
      </c>
      <c r="R6" s="16"/>
      <c r="S6" s="16"/>
      <c r="T6" s="16"/>
      <c r="U6" s="16"/>
      <c r="V6" s="16"/>
      <c r="W6" s="16"/>
      <c r="X6" s="16"/>
      <c r="Y6" s="16">
        <v>26697383</v>
      </c>
      <c r="Z6" s="16">
        <v>20660764</v>
      </c>
      <c r="AA6" s="16">
        <v>6036619</v>
      </c>
      <c r="AB6" s="16">
        <v>18342570</v>
      </c>
      <c r="AC6" s="16">
        <v>13549494</v>
      </c>
      <c r="AD6" s="16">
        <v>2318194</v>
      </c>
      <c r="AE6" s="15">
        <v>20660764</v>
      </c>
      <c r="AF6" s="15">
        <v>-9220547</v>
      </c>
      <c r="AG6" s="15">
        <v>854197</v>
      </c>
      <c r="AH6" s="15">
        <v>0</v>
      </c>
      <c r="AI6" s="15">
        <v>-13216924</v>
      </c>
      <c r="AJ6" s="15">
        <v>-21583274</v>
      </c>
      <c r="AK6" s="15">
        <v>56971204</v>
      </c>
      <c r="AL6" s="15">
        <v>0</v>
      </c>
      <c r="AM6" s="15">
        <v>121456257</v>
      </c>
      <c r="AN6" s="15">
        <v>66624926</v>
      </c>
      <c r="AO6" s="15">
        <v>8565666</v>
      </c>
      <c r="AP6" s="15">
        <v>62106495</v>
      </c>
      <c r="AQ6" s="15">
        <v>316249624</v>
      </c>
      <c r="AR6" s="15">
        <v>242122262</v>
      </c>
      <c r="AS6" s="16">
        <v>222522897</v>
      </c>
      <c r="AT6" s="16">
        <v>0</v>
      </c>
      <c r="AU6" s="17">
        <v>-0.89252981376079299</v>
      </c>
      <c r="AV6" s="17">
        <v>1.6681334456189201</v>
      </c>
      <c r="AW6" s="17">
        <v>1.5359592674333</v>
      </c>
      <c r="AX6" s="17">
        <v>0.224396368141867</v>
      </c>
      <c r="AY6" s="17">
        <v>1.3115628992914301</v>
      </c>
      <c r="AZ6" s="17">
        <f t="shared" ref="AZ6:AZ16" si="1">Y6/$Y$31</f>
        <v>2.0526279293408885E-2</v>
      </c>
      <c r="BA6" s="17">
        <f t="shared" ref="BA6:BA16" si="2">AF6/$AF$31</f>
        <v>-2.5159082708993988E-2</v>
      </c>
    </row>
    <row r="7" spans="1:53" ht="15.6" x14ac:dyDescent="0.3">
      <c r="A7" s="14" t="s">
        <v>56</v>
      </c>
      <c r="B7" s="16">
        <v>20778</v>
      </c>
      <c r="C7" s="16">
        <v>65549</v>
      </c>
      <c r="D7" s="16">
        <v>812224</v>
      </c>
      <c r="E7" s="16">
        <v>2015435</v>
      </c>
      <c r="F7" s="16">
        <v>789</v>
      </c>
      <c r="G7" s="16">
        <v>0</v>
      </c>
      <c r="H7" s="16">
        <v>611</v>
      </c>
      <c r="I7" s="16">
        <v>3561</v>
      </c>
      <c r="J7" s="16">
        <v>0</v>
      </c>
      <c r="K7" s="16">
        <v>3143</v>
      </c>
      <c r="L7" s="16">
        <v>3947</v>
      </c>
      <c r="M7" s="16">
        <v>4244</v>
      </c>
      <c r="N7" s="16">
        <v>1822</v>
      </c>
      <c r="O7" s="16">
        <v>714</v>
      </c>
      <c r="P7" s="16">
        <v>31469</v>
      </c>
      <c r="Q7" s="16"/>
      <c r="R7" s="16"/>
      <c r="S7" s="16"/>
      <c r="T7" s="16"/>
      <c r="U7" s="16"/>
      <c r="V7" s="16"/>
      <c r="W7" s="16"/>
      <c r="X7" s="16"/>
      <c r="Y7" s="16">
        <v>2964286</v>
      </c>
      <c r="Z7" s="16">
        <v>2598104</v>
      </c>
      <c r="AA7" s="16">
        <v>366182</v>
      </c>
      <c r="AB7" s="16">
        <v>444347</v>
      </c>
      <c r="AC7" s="16">
        <v>1368117</v>
      </c>
      <c r="AD7" s="16">
        <v>2153757</v>
      </c>
      <c r="AE7" s="15">
        <v>2598104</v>
      </c>
      <c r="AF7" s="15">
        <v>-270249</v>
      </c>
      <c r="AG7" s="15">
        <v>1328764</v>
      </c>
      <c r="AH7" s="15">
        <v>0</v>
      </c>
      <c r="AI7" s="15">
        <v>-1362517</v>
      </c>
      <c r="AJ7" s="15">
        <v>-304002</v>
      </c>
      <c r="AK7" s="15">
        <v>675655</v>
      </c>
      <c r="AL7" s="15">
        <v>0</v>
      </c>
      <c r="AM7" s="15">
        <v>609627</v>
      </c>
      <c r="AN7" s="15">
        <v>23998991</v>
      </c>
      <c r="AO7" s="15">
        <v>33290310</v>
      </c>
      <c r="AP7" s="15">
        <v>8928236</v>
      </c>
      <c r="AQ7" s="15">
        <v>67502819</v>
      </c>
      <c r="AR7" s="15">
        <v>12968160</v>
      </c>
      <c r="AS7" s="16">
        <v>8069110</v>
      </c>
      <c r="AT7" s="16">
        <v>0</v>
      </c>
      <c r="AU7" s="17">
        <v>-0.116093571120194</v>
      </c>
      <c r="AV7" s="17">
        <v>0.19088259363233501</v>
      </c>
      <c r="AW7" s="17">
        <v>1.5129267072046999</v>
      </c>
      <c r="AX7" s="17">
        <v>0.92521097748785897</v>
      </c>
      <c r="AY7" s="17">
        <v>0.58771572971684205</v>
      </c>
      <c r="AZ7" s="17">
        <f t="shared" si="1"/>
        <v>2.2790908884792885E-3</v>
      </c>
      <c r="BA7" s="17">
        <f t="shared" si="2"/>
        <v>-7.3739843666790236E-4</v>
      </c>
    </row>
    <row r="8" spans="1:53" ht="15.6" x14ac:dyDescent="0.3">
      <c r="A8" s="14" t="s">
        <v>57</v>
      </c>
      <c r="B8" s="16">
        <v>52279</v>
      </c>
      <c r="C8" s="16">
        <v>0</v>
      </c>
      <c r="D8" s="16">
        <v>1954729</v>
      </c>
      <c r="E8" s="16">
        <v>0</v>
      </c>
      <c r="F8" s="16">
        <v>0</v>
      </c>
      <c r="G8" s="16">
        <v>0</v>
      </c>
      <c r="H8" s="16">
        <v>315373</v>
      </c>
      <c r="I8" s="16">
        <v>0</v>
      </c>
      <c r="J8" s="16">
        <v>214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>
        <v>2322595</v>
      </c>
      <c r="Z8" s="16">
        <v>1580673</v>
      </c>
      <c r="AA8" s="16">
        <v>741922</v>
      </c>
      <c r="AB8" s="16">
        <v>1123425</v>
      </c>
      <c r="AC8" s="16">
        <v>2540323</v>
      </c>
      <c r="AD8" s="16">
        <v>457248</v>
      </c>
      <c r="AE8" s="15">
        <v>1580673</v>
      </c>
      <c r="AF8" s="15">
        <v>869746</v>
      </c>
      <c r="AG8" s="15">
        <v>1070759</v>
      </c>
      <c r="AH8" s="15">
        <v>-31783</v>
      </c>
      <c r="AI8" s="15">
        <v>-2467323</v>
      </c>
      <c r="AJ8" s="15">
        <v>-558601</v>
      </c>
      <c r="AK8" s="15">
        <v>1028291</v>
      </c>
      <c r="AL8" s="15">
        <v>4293191</v>
      </c>
      <c r="AM8" s="15">
        <v>2006493</v>
      </c>
      <c r="AN8" s="15">
        <v>45196419</v>
      </c>
      <c r="AO8" s="15">
        <v>23385727</v>
      </c>
      <c r="AP8" s="15">
        <v>531329</v>
      </c>
      <c r="AQ8" s="15">
        <v>90993369</v>
      </c>
      <c r="AR8" s="15">
        <v>29247967</v>
      </c>
      <c r="AS8" s="16">
        <v>5901244</v>
      </c>
      <c r="AT8" s="16">
        <v>5652679</v>
      </c>
      <c r="AU8" s="17">
        <v>0.48405114408567201</v>
      </c>
      <c r="AV8" s="17">
        <v>0.26147063177660801</v>
      </c>
      <c r="AW8" s="17">
        <v>1.66827748794249</v>
      </c>
      <c r="AX8" s="17">
        <v>0.25447822413771898</v>
      </c>
      <c r="AY8" s="17">
        <v>1.4137992638047701</v>
      </c>
      <c r="AZ8" s="17">
        <f t="shared" si="1"/>
        <v>1.785726850286225E-3</v>
      </c>
      <c r="BA8" s="17">
        <f t="shared" si="2"/>
        <v>2.3731793297964519E-3</v>
      </c>
    </row>
    <row r="9" spans="1:53" ht="15.6" x14ac:dyDescent="0.3">
      <c r="A9" s="14" t="s">
        <v>58</v>
      </c>
      <c r="B9" s="16">
        <v>229509</v>
      </c>
      <c r="C9" s="16">
        <v>5331269</v>
      </c>
      <c r="D9" s="16">
        <v>11451094</v>
      </c>
      <c r="E9" s="16">
        <v>1217509</v>
      </c>
      <c r="F9" s="16">
        <v>10919</v>
      </c>
      <c r="G9" s="16"/>
      <c r="H9" s="16">
        <v>190190</v>
      </c>
      <c r="I9" s="16">
        <v>88372</v>
      </c>
      <c r="J9" s="16">
        <v>34465</v>
      </c>
      <c r="K9" s="16">
        <v>293034</v>
      </c>
      <c r="L9" s="16">
        <v>83781</v>
      </c>
      <c r="M9" s="16">
        <v>3211249</v>
      </c>
      <c r="N9" s="16">
        <v>484080</v>
      </c>
      <c r="O9" s="16">
        <v>946842</v>
      </c>
      <c r="P9" s="16"/>
      <c r="Q9" s="16">
        <v>441718</v>
      </c>
      <c r="R9" s="16">
        <v>42583</v>
      </c>
      <c r="S9" s="16"/>
      <c r="T9" s="16"/>
      <c r="U9" s="16"/>
      <c r="V9" s="16"/>
      <c r="W9" s="16"/>
      <c r="X9" s="16"/>
      <c r="Y9" s="16">
        <v>24056614</v>
      </c>
      <c r="Z9" s="16">
        <v>10055935</v>
      </c>
      <c r="AA9" s="16">
        <v>14000679</v>
      </c>
      <c r="AB9" s="16">
        <v>6538953</v>
      </c>
      <c r="AC9" s="16">
        <v>10204221</v>
      </c>
      <c r="AD9" s="16">
        <v>3516982</v>
      </c>
      <c r="AE9" s="15">
        <v>10055935</v>
      </c>
      <c r="AF9" s="15">
        <v>10268592</v>
      </c>
      <c r="AG9" s="15">
        <v>2085837</v>
      </c>
      <c r="AH9" s="15">
        <v>-367135</v>
      </c>
      <c r="AI9" s="15">
        <v>-6542886</v>
      </c>
      <c r="AJ9" s="15">
        <v>3811085</v>
      </c>
      <c r="AK9" s="15">
        <v>41618692</v>
      </c>
      <c r="AL9" s="15">
        <v>0</v>
      </c>
      <c r="AM9" s="15">
        <v>25799532</v>
      </c>
      <c r="AN9" s="15">
        <v>75937349</v>
      </c>
      <c r="AO9" s="15">
        <v>849792</v>
      </c>
      <c r="AP9" s="15">
        <v>17086999</v>
      </c>
      <c r="AQ9" s="15">
        <v>161292364</v>
      </c>
      <c r="AR9" s="15">
        <v>96312032</v>
      </c>
      <c r="AS9" s="16">
        <v>68584455</v>
      </c>
      <c r="AT9" s="16">
        <v>0</v>
      </c>
      <c r="AU9" s="17">
        <v>0.51323280088250101</v>
      </c>
      <c r="AV9" s="17">
        <v>0.31098550260902402</v>
      </c>
      <c r="AW9" s="17">
        <v>0.68579718107091803</v>
      </c>
      <c r="AX9" s="17">
        <v>0.175781696508473</v>
      </c>
      <c r="AY9" s="17">
        <v>0.51001548456244405</v>
      </c>
      <c r="AZ9" s="17">
        <f t="shared" si="1"/>
        <v>1.8495924406438276E-2</v>
      </c>
      <c r="BA9" s="17">
        <f t="shared" si="2"/>
        <v>2.8018766720988898E-2</v>
      </c>
    </row>
    <row r="10" spans="1:53" ht="15.6" x14ac:dyDescent="0.3">
      <c r="A10" s="14" t="s">
        <v>52</v>
      </c>
      <c r="B10" s="16">
        <v>311258</v>
      </c>
      <c r="C10" s="16">
        <v>2416497</v>
      </c>
      <c r="D10" s="16">
        <v>8666349</v>
      </c>
      <c r="E10" s="16">
        <v>7140926</v>
      </c>
      <c r="F10" s="16"/>
      <c r="G10" s="16"/>
      <c r="H10" s="16">
        <v>151645</v>
      </c>
      <c r="I10" s="16">
        <v>27317</v>
      </c>
      <c r="J10" s="16"/>
      <c r="K10" s="16">
        <v>652526</v>
      </c>
      <c r="L10" s="16">
        <v>68667</v>
      </c>
      <c r="M10" s="16">
        <v>252187</v>
      </c>
      <c r="N10" s="16">
        <v>488932</v>
      </c>
      <c r="O10" s="16">
        <v>6489</v>
      </c>
      <c r="P10" s="16">
        <v>1283734</v>
      </c>
      <c r="Q10" s="16">
        <v>95142</v>
      </c>
      <c r="R10" s="16"/>
      <c r="S10" s="16"/>
      <c r="T10" s="16"/>
      <c r="U10" s="16"/>
      <c r="V10" s="16"/>
      <c r="W10" s="16"/>
      <c r="X10" s="16"/>
      <c r="Y10" s="16">
        <v>21561669</v>
      </c>
      <c r="Z10" s="16">
        <v>9497913</v>
      </c>
      <c r="AA10" s="16">
        <v>12063756</v>
      </c>
      <c r="AB10" s="16">
        <v>-567617</v>
      </c>
      <c r="AC10" s="16">
        <v>5598675</v>
      </c>
      <c r="AD10" s="16">
        <v>10065530</v>
      </c>
      <c r="AE10" s="15">
        <v>9497913</v>
      </c>
      <c r="AF10" s="15">
        <v>9536859</v>
      </c>
      <c r="AG10" s="15">
        <v>3591007</v>
      </c>
      <c r="AH10" s="15">
        <v>0</v>
      </c>
      <c r="AI10" s="15">
        <v>-5177992</v>
      </c>
      <c r="AJ10" s="15">
        <v>5564912</v>
      </c>
      <c r="AK10" s="15">
        <v>28722280</v>
      </c>
      <c r="AL10" s="15">
        <v>0</v>
      </c>
      <c r="AM10" s="15">
        <v>13114435</v>
      </c>
      <c r="AN10" s="15">
        <v>65053373</v>
      </c>
      <c r="AO10" s="15">
        <v>16906728</v>
      </c>
      <c r="AP10" s="15">
        <v>13406417</v>
      </c>
      <c r="AQ10" s="15">
        <v>137244467</v>
      </c>
      <c r="AR10" s="15">
        <v>74139445</v>
      </c>
      <c r="AS10" s="16">
        <v>55316827</v>
      </c>
      <c r="AT10" s="16">
        <v>0</v>
      </c>
      <c r="AU10" s="17">
        <v>0.512325513570004</v>
      </c>
      <c r="AV10" s="17">
        <v>-5.30515352721481E-2</v>
      </c>
      <c r="AW10" s="17">
        <v>0.84149004103875602</v>
      </c>
      <c r="AX10" s="17">
        <v>0.54072602170214301</v>
      </c>
      <c r="AY10" s="17">
        <v>0.30076401933661201</v>
      </c>
      <c r="AZ10" s="17">
        <f t="shared" si="1"/>
        <v>1.6577686282061289E-2</v>
      </c>
      <c r="BA10" s="17">
        <f t="shared" si="2"/>
        <v>2.6022168138724711E-2</v>
      </c>
    </row>
    <row r="11" spans="1:53" ht="15.6" x14ac:dyDescent="0.3">
      <c r="A11" s="14" t="s">
        <v>59</v>
      </c>
      <c r="B11" s="16">
        <v>3274346</v>
      </c>
      <c r="C11" s="16">
        <v>60898777</v>
      </c>
      <c r="D11" s="16">
        <v>73552479</v>
      </c>
      <c r="E11" s="16">
        <v>5452786</v>
      </c>
      <c r="F11" s="16">
        <v>269257</v>
      </c>
      <c r="G11" s="16"/>
      <c r="H11" s="16">
        <v>5754296</v>
      </c>
      <c r="I11" s="16">
        <v>2263378</v>
      </c>
      <c r="J11" s="16">
        <v>605626</v>
      </c>
      <c r="K11" s="16">
        <v>4670498</v>
      </c>
      <c r="L11" s="16">
        <v>3284623</v>
      </c>
      <c r="M11" s="16">
        <v>10136392</v>
      </c>
      <c r="N11" s="16">
        <v>2803101</v>
      </c>
      <c r="O11" s="16">
        <v>7891254</v>
      </c>
      <c r="P11" s="16">
        <v>5644447</v>
      </c>
      <c r="Q11" s="16">
        <v>9838402</v>
      </c>
      <c r="R11" s="16">
        <v>7083729</v>
      </c>
      <c r="S11" s="16">
        <v>438874</v>
      </c>
      <c r="T11" s="16"/>
      <c r="U11" s="16">
        <v>799</v>
      </c>
      <c r="V11" s="16"/>
      <c r="W11" s="16"/>
      <c r="X11" s="16"/>
      <c r="Y11" s="16">
        <v>203863064</v>
      </c>
      <c r="Z11" s="16">
        <v>86180746</v>
      </c>
      <c r="AA11" s="16">
        <v>117682318</v>
      </c>
      <c r="AB11" s="16">
        <v>53964093</v>
      </c>
      <c r="AC11" s="16">
        <v>40034927</v>
      </c>
      <c r="AD11" s="16">
        <v>32216653</v>
      </c>
      <c r="AE11" s="15">
        <v>86180746</v>
      </c>
      <c r="AF11" s="15">
        <v>56016962</v>
      </c>
      <c r="AG11" s="15">
        <v>15266538</v>
      </c>
      <c r="AH11" s="15">
        <v>-5409304</v>
      </c>
      <c r="AI11" s="15">
        <v>-37868486</v>
      </c>
      <c r="AJ11" s="15">
        <v>19603998</v>
      </c>
      <c r="AK11" s="15">
        <v>61513352</v>
      </c>
      <c r="AL11" s="15">
        <v>0</v>
      </c>
      <c r="AM11" s="15">
        <v>178537049</v>
      </c>
      <c r="AN11" s="15">
        <v>459448669</v>
      </c>
      <c r="AO11" s="15">
        <v>141521904</v>
      </c>
      <c r="AP11" s="15">
        <v>18036130</v>
      </c>
      <c r="AQ11" s="15">
        <v>859057104</v>
      </c>
      <c r="AR11" s="15">
        <v>568162227</v>
      </c>
      <c r="AS11" s="16">
        <v>424911844</v>
      </c>
      <c r="AT11" s="16">
        <v>0</v>
      </c>
      <c r="AU11" s="17">
        <v>0.44495021200183799</v>
      </c>
      <c r="AV11" s="17">
        <v>0.29914860966686102</v>
      </c>
      <c r="AW11" s="17">
        <v>0.57390395142220896</v>
      </c>
      <c r="AX11" s="17">
        <v>0.25590117833129999</v>
      </c>
      <c r="AY11" s="17">
        <v>0.31800277309090902</v>
      </c>
      <c r="AZ11" s="17">
        <f t="shared" si="1"/>
        <v>0.15674008906693551</v>
      </c>
      <c r="BA11" s="17">
        <f t="shared" si="2"/>
        <v>0.15284726384069983</v>
      </c>
    </row>
    <row r="12" spans="1:53" ht="15.6" x14ac:dyDescent="0.3">
      <c r="A12" s="14" t="s">
        <v>60</v>
      </c>
      <c r="B12" s="16"/>
      <c r="C12" s="16">
        <v>125959573</v>
      </c>
      <c r="D12" s="16">
        <v>45793989</v>
      </c>
      <c r="E12" s="16"/>
      <c r="F12" s="16"/>
      <c r="G12" s="16"/>
      <c r="H12" s="16"/>
      <c r="I12" s="16"/>
      <c r="J12" s="16"/>
      <c r="K12" s="16"/>
      <c r="L12" s="16"/>
      <c r="M12" s="16">
        <v>24694714</v>
      </c>
      <c r="N12" s="16">
        <v>7737232</v>
      </c>
      <c r="O12" s="16"/>
      <c r="P12" s="16">
        <v>1721544</v>
      </c>
      <c r="Q12" s="16">
        <v>7674346</v>
      </c>
      <c r="R12" s="16"/>
      <c r="S12" s="16"/>
      <c r="T12" s="16"/>
      <c r="U12" s="16"/>
      <c r="V12" s="16"/>
      <c r="W12" s="16"/>
      <c r="X12" s="16"/>
      <c r="Y12" s="16">
        <v>213581398</v>
      </c>
      <c r="Z12" s="16">
        <v>20586132</v>
      </c>
      <c r="AA12" s="16">
        <v>192995266</v>
      </c>
      <c r="AB12" s="16">
        <v>12960241</v>
      </c>
      <c r="AC12" s="16">
        <v>1842187</v>
      </c>
      <c r="AD12" s="16">
        <v>7625891</v>
      </c>
      <c r="AE12" s="15">
        <v>20586132</v>
      </c>
      <c r="AF12" s="15">
        <v>30969755</v>
      </c>
      <c r="AG12" s="15">
        <v>5703800</v>
      </c>
      <c r="AH12" s="15">
        <v>0</v>
      </c>
      <c r="AI12" s="15">
        <v>-1842187</v>
      </c>
      <c r="AJ12" s="15">
        <v>26225794</v>
      </c>
      <c r="AK12" s="15">
        <v>83644636</v>
      </c>
      <c r="AL12" s="15">
        <v>0</v>
      </c>
      <c r="AM12" s="15">
        <v>287704068</v>
      </c>
      <c r="AN12" s="15">
        <v>184245235</v>
      </c>
      <c r="AO12" s="15">
        <v>573134</v>
      </c>
      <c r="AP12" s="15">
        <v>51295817</v>
      </c>
      <c r="AQ12" s="15">
        <v>608127351</v>
      </c>
      <c r="AR12" s="15">
        <v>393760350</v>
      </c>
      <c r="AS12" s="16">
        <v>350517184</v>
      </c>
      <c r="AT12" s="16">
        <v>3072291</v>
      </c>
      <c r="AU12" s="17">
        <v>0.70219770574753904</v>
      </c>
      <c r="AV12" s="17">
        <v>0.12489543191270901</v>
      </c>
      <c r="AW12" s="17">
        <v>0.214675984664352</v>
      </c>
      <c r="AX12" s="17">
        <v>0.17290686233975</v>
      </c>
      <c r="AY12" s="17">
        <v>4.1769122324601601E-2</v>
      </c>
      <c r="AZ12" s="17">
        <f t="shared" si="1"/>
        <v>0.16421202884285405</v>
      </c>
      <c r="BA12" s="17">
        <f t="shared" si="2"/>
        <v>8.4503731451320632E-2</v>
      </c>
    </row>
    <row r="13" spans="1:53" ht="15.6" x14ac:dyDescent="0.3">
      <c r="A13" s="14" t="s">
        <v>61</v>
      </c>
      <c r="B13" s="16">
        <v>274335</v>
      </c>
      <c r="C13" s="16">
        <v>35208062</v>
      </c>
      <c r="D13" s="16">
        <v>9921504</v>
      </c>
      <c r="E13" s="16">
        <v>2197547</v>
      </c>
      <c r="F13" s="16">
        <v>28901</v>
      </c>
      <c r="G13" s="16">
        <v>0</v>
      </c>
      <c r="H13" s="16">
        <v>6474676</v>
      </c>
      <c r="I13" s="16">
        <v>80544</v>
      </c>
      <c r="J13" s="16">
        <v>0</v>
      </c>
      <c r="K13" s="16">
        <v>464246</v>
      </c>
      <c r="L13" s="16">
        <v>50713</v>
      </c>
      <c r="M13" s="16">
        <v>816968</v>
      </c>
      <c r="N13" s="16">
        <v>4131607</v>
      </c>
      <c r="O13" s="16">
        <v>707714</v>
      </c>
      <c r="P13" s="16">
        <v>7356675</v>
      </c>
      <c r="Q13" s="16">
        <v>16859802</v>
      </c>
      <c r="R13" s="16">
        <v>2446242</v>
      </c>
      <c r="S13" s="16">
        <v>0</v>
      </c>
      <c r="T13" s="16">
        <v>0</v>
      </c>
      <c r="U13" s="16">
        <v>82996</v>
      </c>
      <c r="V13" s="16"/>
      <c r="W13" s="16"/>
      <c r="X13" s="16">
        <v>0</v>
      </c>
      <c r="Y13" s="16">
        <v>87102532</v>
      </c>
      <c r="Z13" s="16">
        <v>34024496</v>
      </c>
      <c r="AA13" s="16">
        <v>53078036</v>
      </c>
      <c r="AB13" s="16">
        <v>8349023</v>
      </c>
      <c r="AC13" s="16">
        <v>7457464</v>
      </c>
      <c r="AD13" s="16">
        <v>25675473</v>
      </c>
      <c r="AE13" s="15">
        <v>34024496</v>
      </c>
      <c r="AF13" s="15">
        <v>33468999</v>
      </c>
      <c r="AG13" s="15">
        <v>4262975</v>
      </c>
      <c r="AH13" s="15">
        <v>2210151</v>
      </c>
      <c r="AI13" s="15">
        <v>-7429064</v>
      </c>
      <c r="AJ13" s="15">
        <v>29967664</v>
      </c>
      <c r="AK13" s="15">
        <v>44206713</v>
      </c>
      <c r="AL13" s="15">
        <v>0</v>
      </c>
      <c r="AM13" s="15">
        <v>254211748</v>
      </c>
      <c r="AN13" s="15">
        <v>251342000</v>
      </c>
      <c r="AO13" s="15">
        <v>12953461</v>
      </c>
      <c r="AP13" s="15">
        <v>12852585</v>
      </c>
      <c r="AQ13" s="15">
        <v>578778473</v>
      </c>
      <c r="AR13" s="15">
        <v>406537969</v>
      </c>
      <c r="AS13" s="16">
        <v>332201717</v>
      </c>
      <c r="AT13" s="16">
        <v>0</v>
      </c>
      <c r="AU13" s="17">
        <v>0.57891454410534504</v>
      </c>
      <c r="AV13" s="17">
        <v>-2.30241736309874E-2</v>
      </c>
      <c r="AW13" s="17">
        <v>0.57310166695532505</v>
      </c>
      <c r="AX13" s="17">
        <v>0.44410962952564198</v>
      </c>
      <c r="AY13" s="17">
        <v>0.12899203742968299</v>
      </c>
      <c r="AZ13" s="17">
        <f t="shared" si="1"/>
        <v>6.6968769897599506E-2</v>
      </c>
      <c r="BA13" s="17">
        <f t="shared" si="2"/>
        <v>9.1323141027125299E-2</v>
      </c>
    </row>
    <row r="14" spans="1:53" ht="15.6" x14ac:dyDescent="0.3">
      <c r="A14" s="14" t="s">
        <v>62</v>
      </c>
      <c r="B14" s="16">
        <v>2923192.06</v>
      </c>
      <c r="C14" s="16">
        <v>55812326.810000002</v>
      </c>
      <c r="D14" s="16">
        <v>40583663.950000003</v>
      </c>
      <c r="E14" s="16">
        <v>4889782.32</v>
      </c>
      <c r="F14" s="16">
        <v>153367.01999999999</v>
      </c>
      <c r="G14" s="16"/>
      <c r="H14" s="16">
        <v>5659746.1900000004</v>
      </c>
      <c r="I14" s="16">
        <v>128396.96</v>
      </c>
      <c r="J14" s="16">
        <v>601110.13</v>
      </c>
      <c r="K14" s="16">
        <v>2211608.7200000002</v>
      </c>
      <c r="L14" s="16">
        <v>434652.77</v>
      </c>
      <c r="M14" s="16">
        <v>8609208.6600000001</v>
      </c>
      <c r="N14" s="16">
        <v>196010.4</v>
      </c>
      <c r="O14" s="16">
        <v>2990329.98</v>
      </c>
      <c r="P14" s="16">
        <v>1666991.79</v>
      </c>
      <c r="Q14" s="16">
        <v>7957932.29</v>
      </c>
      <c r="R14" s="16">
        <v>243096.41</v>
      </c>
      <c r="S14" s="16">
        <v>0</v>
      </c>
      <c r="T14" s="16"/>
      <c r="U14" s="16"/>
      <c r="V14" s="16"/>
      <c r="W14" s="16"/>
      <c r="X14" s="16"/>
      <c r="Y14" s="16">
        <v>135061416.46000001</v>
      </c>
      <c r="Z14" s="16">
        <v>62132084.659999996</v>
      </c>
      <c r="AA14" s="16">
        <v>72929331.799999997</v>
      </c>
      <c r="AB14" s="16">
        <v>28012765.489999998</v>
      </c>
      <c r="AC14" s="16">
        <v>7827583</v>
      </c>
      <c r="AD14" s="16">
        <v>34119319.170000002</v>
      </c>
      <c r="AE14" s="15">
        <v>62132084.659999996</v>
      </c>
      <c r="AF14" s="15">
        <v>8415591.4400000107</v>
      </c>
      <c r="AG14" s="15">
        <v>11129059.66</v>
      </c>
      <c r="AH14" s="15">
        <v>-583973.40999999898</v>
      </c>
      <c r="AI14" s="15">
        <v>-7572444.5300000003</v>
      </c>
      <c r="AJ14" s="15">
        <v>5754331.1600000104</v>
      </c>
      <c r="AK14" s="15">
        <v>176790561.68999901</v>
      </c>
      <c r="AL14" s="15">
        <v>0</v>
      </c>
      <c r="AM14" s="15">
        <v>61601076.710000001</v>
      </c>
      <c r="AN14" s="15">
        <v>171402317.97999999</v>
      </c>
      <c r="AO14" s="15">
        <v>27431949.479261599</v>
      </c>
      <c r="AP14" s="15">
        <v>16946650.02</v>
      </c>
      <c r="AQ14" s="15">
        <v>454407997.19999999</v>
      </c>
      <c r="AR14" s="15">
        <v>294502376.90481603</v>
      </c>
      <c r="AS14" s="16">
        <v>225830188.38999999</v>
      </c>
      <c r="AT14" s="16">
        <v>0</v>
      </c>
      <c r="AU14" s="17">
        <v>0.118755857383277</v>
      </c>
      <c r="AV14" s="17">
        <v>0.39977245637157199</v>
      </c>
      <c r="AW14" s="17">
        <v>0.591929915714969</v>
      </c>
      <c r="AX14" s="17">
        <v>0.48147168624514902</v>
      </c>
      <c r="AY14" s="17">
        <v>0.11045822946981899</v>
      </c>
      <c r="AZ14" s="17">
        <f t="shared" si="1"/>
        <v>0.10384195170071059</v>
      </c>
      <c r="BA14" s="17">
        <f t="shared" si="2"/>
        <v>2.2962689858211458E-2</v>
      </c>
    </row>
    <row r="15" spans="1:53" ht="15.6" x14ac:dyDescent="0.3">
      <c r="A15" s="14" t="s">
        <v>63</v>
      </c>
      <c r="B15" s="16">
        <v>60108</v>
      </c>
      <c r="C15" s="16">
        <v>2113101</v>
      </c>
      <c r="D15" s="16">
        <v>8130363</v>
      </c>
      <c r="E15" s="16">
        <v>925712</v>
      </c>
      <c r="F15" s="16">
        <v>2724</v>
      </c>
      <c r="G15" s="16"/>
      <c r="H15" s="16">
        <v>52204</v>
      </c>
      <c r="I15" s="16">
        <v>34709</v>
      </c>
      <c r="J15" s="16">
        <v>42618</v>
      </c>
      <c r="K15" s="16">
        <v>109447</v>
      </c>
      <c r="L15" s="16">
        <v>93672</v>
      </c>
      <c r="M15" s="16">
        <v>616213</v>
      </c>
      <c r="N15" s="16">
        <v>470509</v>
      </c>
      <c r="O15" s="16">
        <v>404058</v>
      </c>
      <c r="P15" s="16">
        <v>2776272</v>
      </c>
      <c r="Q15" s="16">
        <v>38486</v>
      </c>
      <c r="R15" s="16"/>
      <c r="S15" s="16">
        <v>61463</v>
      </c>
      <c r="T15" s="16"/>
      <c r="U15" s="16"/>
      <c r="V15" s="16"/>
      <c r="W15" s="16"/>
      <c r="X15" s="16"/>
      <c r="Y15" s="16">
        <v>15931659</v>
      </c>
      <c r="Z15" s="16">
        <v>10923622</v>
      </c>
      <c r="AA15" s="16">
        <v>5008037</v>
      </c>
      <c r="AB15" s="16">
        <v>5817265</v>
      </c>
      <c r="AC15" s="16">
        <v>3848560</v>
      </c>
      <c r="AD15" s="16">
        <v>5106357</v>
      </c>
      <c r="AE15" s="15">
        <v>10923622</v>
      </c>
      <c r="AF15" s="15">
        <v>668916</v>
      </c>
      <c r="AG15" s="15">
        <v>3340782</v>
      </c>
      <c r="AH15" s="15">
        <v>963328</v>
      </c>
      <c r="AI15" s="15">
        <v>-3833130</v>
      </c>
      <c r="AJ15" s="15">
        <v>1139896</v>
      </c>
      <c r="AK15" s="15">
        <v>13104232</v>
      </c>
      <c r="AL15" s="15">
        <v>0</v>
      </c>
      <c r="AM15" s="15">
        <v>3964343</v>
      </c>
      <c r="AN15" s="15">
        <v>65012639</v>
      </c>
      <c r="AO15" s="15">
        <v>18498383</v>
      </c>
      <c r="AP15" s="15">
        <v>6604969</v>
      </c>
      <c r="AQ15" s="15">
        <v>107184566</v>
      </c>
      <c r="AR15" s="15">
        <v>48176599</v>
      </c>
      <c r="AS15" s="16">
        <v>29480344</v>
      </c>
      <c r="AT15" s="16">
        <v>6722462</v>
      </c>
      <c r="AU15" s="17">
        <v>7.8072585809803599E-2</v>
      </c>
      <c r="AV15" s="17">
        <v>0.32593853807123402</v>
      </c>
      <c r="AW15" s="17">
        <v>1.0451738722084201</v>
      </c>
      <c r="AX15" s="17">
        <v>0.59598887611896201</v>
      </c>
      <c r="AY15" s="17">
        <v>0.449184996089461</v>
      </c>
      <c r="AZ15" s="17">
        <f t="shared" si="1"/>
        <v>1.2249053858250874E-2</v>
      </c>
      <c r="BA15" s="17">
        <f t="shared" si="2"/>
        <v>1.8251968098388766E-3</v>
      </c>
    </row>
    <row r="16" spans="1:53" ht="15.6" x14ac:dyDescent="0.3">
      <c r="A16" s="14" t="s">
        <v>64</v>
      </c>
      <c r="B16" s="16">
        <v>105006</v>
      </c>
      <c r="C16" s="16">
        <v>420022</v>
      </c>
      <c r="D16" s="16">
        <v>11874609</v>
      </c>
      <c r="E16" s="16">
        <v>4862599</v>
      </c>
      <c r="F16" s="16">
        <v>880906</v>
      </c>
      <c r="G16" s="16"/>
      <c r="H16" s="16">
        <v>309378</v>
      </c>
      <c r="I16" s="16">
        <v>154688</v>
      </c>
      <c r="J16" s="16"/>
      <c r="K16" s="16">
        <v>464065</v>
      </c>
      <c r="L16" s="16">
        <v>77344</v>
      </c>
      <c r="M16" s="16">
        <v>541408</v>
      </c>
      <c r="N16" s="16">
        <v>401995</v>
      </c>
      <c r="O16" s="16">
        <v>267996</v>
      </c>
      <c r="P16" s="16">
        <v>690697</v>
      </c>
      <c r="Q16" s="16">
        <v>11270</v>
      </c>
      <c r="R16" s="16">
        <v>1252</v>
      </c>
      <c r="S16" s="16"/>
      <c r="T16" s="16"/>
      <c r="U16" s="16"/>
      <c r="V16" s="16"/>
      <c r="W16" s="16"/>
      <c r="X16" s="16"/>
      <c r="Y16" s="16">
        <v>21063235</v>
      </c>
      <c r="Z16" s="16">
        <v>7367453</v>
      </c>
      <c r="AA16" s="16">
        <v>13695782</v>
      </c>
      <c r="AB16" s="16">
        <v>7367453</v>
      </c>
      <c r="AC16" s="16">
        <v>8637778</v>
      </c>
      <c r="AD16" s="16">
        <v>0</v>
      </c>
      <c r="AE16" s="15">
        <v>7367453</v>
      </c>
      <c r="AF16" s="15">
        <v>13004509</v>
      </c>
      <c r="AG16" s="15">
        <v>29151</v>
      </c>
      <c r="AH16" s="15">
        <v>0</v>
      </c>
      <c r="AI16" s="15">
        <v>-8226588</v>
      </c>
      <c r="AJ16" s="15">
        <v>3605304</v>
      </c>
      <c r="AK16" s="15">
        <v>3497267</v>
      </c>
      <c r="AL16" s="15">
        <v>0</v>
      </c>
      <c r="AM16" s="15">
        <v>0</v>
      </c>
      <c r="AN16" s="15">
        <v>74977174</v>
      </c>
      <c r="AO16" s="15">
        <v>12235769</v>
      </c>
      <c r="AP16" s="15">
        <v>50068678</v>
      </c>
      <c r="AQ16" s="15">
        <v>142095486</v>
      </c>
      <c r="AR16" s="15">
        <v>43655618</v>
      </c>
      <c r="AS16" s="16">
        <v>29691284</v>
      </c>
      <c r="AT16" s="16">
        <v>3650613</v>
      </c>
      <c r="AU16" s="17">
        <v>0.75084216724845398</v>
      </c>
      <c r="AV16" s="17">
        <v>0.24915783275154499</v>
      </c>
      <c r="AW16" s="17">
        <v>0.498719940424587</v>
      </c>
      <c r="AX16" s="17">
        <v>0</v>
      </c>
      <c r="AY16" s="17">
        <v>0.498719940424587</v>
      </c>
      <c r="AZ16" s="17">
        <f t="shared" si="1"/>
        <v>1.619446536886051E-2</v>
      </c>
      <c r="BA16" s="17">
        <f t="shared" si="2"/>
        <v>3.5483959630687498E-2</v>
      </c>
    </row>
    <row r="17" spans="1:56" ht="15.6" x14ac:dyDescent="0.3">
      <c r="A17" s="14" t="s">
        <v>65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>
        <v>0</v>
      </c>
      <c r="AS17" s="16"/>
      <c r="AT17" s="16"/>
      <c r="AU17" s="17"/>
      <c r="AV17" s="17"/>
      <c r="AW17" s="17"/>
      <c r="AX17" s="17"/>
      <c r="AY17" s="17"/>
      <c r="AZ17" s="17"/>
      <c r="BA17" s="17"/>
    </row>
    <row r="18" spans="1:56" ht="15.6" x14ac:dyDescent="0.3">
      <c r="A18" s="14" t="s">
        <v>66</v>
      </c>
      <c r="B18" s="16">
        <v>121977</v>
      </c>
      <c r="C18" s="16">
        <v>796347</v>
      </c>
      <c r="D18" s="16">
        <v>3050634</v>
      </c>
      <c r="E18" s="16">
        <v>2372598</v>
      </c>
      <c r="F18" s="16">
        <v>10230</v>
      </c>
      <c r="G18" s="16">
        <v>0</v>
      </c>
      <c r="H18" s="16">
        <v>56266</v>
      </c>
      <c r="I18" s="16">
        <v>64775</v>
      </c>
      <c r="J18" s="16">
        <v>33319</v>
      </c>
      <c r="K18" s="16">
        <v>198380</v>
      </c>
      <c r="L18" s="16">
        <v>45902</v>
      </c>
      <c r="M18" s="16">
        <v>1937319</v>
      </c>
      <c r="N18" s="16">
        <v>44313</v>
      </c>
      <c r="O18" s="16">
        <v>12230</v>
      </c>
      <c r="P18" s="16">
        <v>31396</v>
      </c>
      <c r="Q18" s="16">
        <v>740863</v>
      </c>
      <c r="R18" s="16">
        <v>40100</v>
      </c>
      <c r="S18" s="16">
        <v>532759</v>
      </c>
      <c r="T18" s="16"/>
      <c r="U18" s="16"/>
      <c r="V18" s="16"/>
      <c r="W18" s="16"/>
      <c r="X18" s="16"/>
      <c r="Y18" s="16">
        <v>10089408</v>
      </c>
      <c r="Z18" s="16">
        <v>1436827</v>
      </c>
      <c r="AA18" s="16">
        <v>8652581</v>
      </c>
      <c r="AB18" s="16">
        <v>0</v>
      </c>
      <c r="AC18" s="16">
        <v>4714001</v>
      </c>
      <c r="AD18" s="16">
        <v>1436827</v>
      </c>
      <c r="AE18" s="15">
        <v>1436827</v>
      </c>
      <c r="AF18" s="15">
        <v>8652581</v>
      </c>
      <c r="AG18" s="15">
        <v>12740531.3099999</v>
      </c>
      <c r="AH18" s="15">
        <v>0</v>
      </c>
      <c r="AI18" s="15">
        <v>-4714001</v>
      </c>
      <c r="AJ18" s="15">
        <v>14798470.3099999</v>
      </c>
      <c r="AK18" s="15">
        <v>14496121.359999999</v>
      </c>
      <c r="AL18" s="15">
        <v>0</v>
      </c>
      <c r="AM18" s="15">
        <v>23874241</v>
      </c>
      <c r="AN18" s="15">
        <v>79258596.549999997</v>
      </c>
      <c r="AO18" s="15">
        <v>9644719.6500000004</v>
      </c>
      <c r="AP18" s="15">
        <v>10979283.0699999</v>
      </c>
      <c r="AQ18" s="15">
        <v>138252961.63</v>
      </c>
      <c r="AR18" s="15">
        <v>44075284.319999993</v>
      </c>
      <c r="AS18" s="16">
        <v>42632573</v>
      </c>
      <c r="AT18" s="16">
        <v>0</v>
      </c>
      <c r="AU18" s="17">
        <v>0.85759055437147502</v>
      </c>
      <c r="AV18" s="17">
        <v>0</v>
      </c>
      <c r="AW18" s="17">
        <v>0.60963220042246202</v>
      </c>
      <c r="AX18" s="17">
        <v>0.14240944562852401</v>
      </c>
      <c r="AY18" s="17">
        <v>0.46722275479393799</v>
      </c>
      <c r="AZ18" s="17">
        <f t="shared" ref="AZ18:AZ30" si="3">Y18/$Y$31</f>
        <v>7.7572399704178476E-3</v>
      </c>
      <c r="BA18" s="17">
        <f t="shared" ref="BA18:BA30" si="4">AF18/$AF$31</f>
        <v>2.3609336954225159E-2</v>
      </c>
      <c r="BD18" t="s">
        <v>82</v>
      </c>
    </row>
    <row r="19" spans="1:56" ht="15.6" x14ac:dyDescent="0.3">
      <c r="A19" s="14" t="s">
        <v>67</v>
      </c>
      <c r="B19" s="16">
        <v>4794497</v>
      </c>
      <c r="C19" s="16"/>
      <c r="D19" s="16">
        <v>24977742</v>
      </c>
      <c r="E19" s="16"/>
      <c r="F19" s="16"/>
      <c r="G19" s="16"/>
      <c r="H19" s="16">
        <v>825430</v>
      </c>
      <c r="I19" s="16"/>
      <c r="J19" s="16">
        <v>64028</v>
      </c>
      <c r="K19" s="16">
        <v>175100</v>
      </c>
      <c r="L19" s="16"/>
      <c r="M19" s="16"/>
      <c r="N19" s="16">
        <v>6716761</v>
      </c>
      <c r="O19" s="16"/>
      <c r="P19" s="16">
        <v>1138239</v>
      </c>
      <c r="Q19" s="16">
        <v>25258223</v>
      </c>
      <c r="R19" s="16"/>
      <c r="S19" s="16"/>
      <c r="T19" s="16"/>
      <c r="U19" s="16"/>
      <c r="V19" s="16"/>
      <c r="W19" s="16"/>
      <c r="X19" s="16"/>
      <c r="Y19" s="16">
        <v>63950020</v>
      </c>
      <c r="Z19" s="16">
        <v>34643336</v>
      </c>
      <c r="AA19" s="16">
        <v>29306684</v>
      </c>
      <c r="AB19" s="16">
        <v>21558498</v>
      </c>
      <c r="AC19" s="16">
        <v>4864253</v>
      </c>
      <c r="AD19" s="16">
        <v>13084838</v>
      </c>
      <c r="AE19" s="15">
        <v>34643336</v>
      </c>
      <c r="AF19" s="15">
        <v>28413620</v>
      </c>
      <c r="AG19" s="15">
        <v>5196036</v>
      </c>
      <c r="AH19" s="15">
        <v>0</v>
      </c>
      <c r="AI19" s="15">
        <v>-4648196</v>
      </c>
      <c r="AJ19" s="15">
        <v>20471457</v>
      </c>
      <c r="AK19" s="15">
        <v>28542218</v>
      </c>
      <c r="AL19" s="15">
        <v>0</v>
      </c>
      <c r="AM19" s="15">
        <v>0</v>
      </c>
      <c r="AN19" s="15">
        <v>153013491</v>
      </c>
      <c r="AO19" s="15">
        <v>12648466</v>
      </c>
      <c r="AP19" s="15">
        <v>5788517</v>
      </c>
      <c r="AQ19" s="15">
        <v>199992692</v>
      </c>
      <c r="AR19" s="15">
        <v>110220619</v>
      </c>
      <c r="AS19" s="16">
        <v>51721038</v>
      </c>
      <c r="AT19" s="16">
        <v>0</v>
      </c>
      <c r="AU19" s="17">
        <v>0.48153435770882003</v>
      </c>
      <c r="AV19" s="17">
        <v>0.29671286802116398</v>
      </c>
      <c r="AW19" s="17">
        <v>0.30418876602636902</v>
      </c>
      <c r="AX19" s="17">
        <v>0.221752774270014</v>
      </c>
      <c r="AY19" s="17">
        <v>8.2435991756355007E-2</v>
      </c>
      <c r="AZ19" s="17">
        <f t="shared" si="3"/>
        <v>4.9167964191062626E-2</v>
      </c>
      <c r="BA19" s="17">
        <f t="shared" si="4"/>
        <v>7.7529089721241673E-2</v>
      </c>
    </row>
    <row r="20" spans="1:56" ht="15.6" x14ac:dyDescent="0.3">
      <c r="A20" s="14" t="s">
        <v>68</v>
      </c>
      <c r="B20" s="16">
        <v>215361</v>
      </c>
      <c r="C20" s="16">
        <v>8262426</v>
      </c>
      <c r="D20" s="16">
        <v>30573185</v>
      </c>
      <c r="E20" s="16">
        <v>11061598</v>
      </c>
      <c r="F20" s="16">
        <v>82980</v>
      </c>
      <c r="G20" s="16"/>
      <c r="H20" s="16">
        <v>302357</v>
      </c>
      <c r="I20" s="16">
        <v>114307</v>
      </c>
      <c r="J20" s="16">
        <v>264492</v>
      </c>
      <c r="K20" s="16">
        <v>1095043</v>
      </c>
      <c r="L20" s="16">
        <v>275167</v>
      </c>
      <c r="M20" s="16">
        <v>1506184</v>
      </c>
      <c r="N20" s="16">
        <v>886496</v>
      </c>
      <c r="O20" s="16">
        <v>4417825</v>
      </c>
      <c r="P20" s="16">
        <v>7365637</v>
      </c>
      <c r="Q20" s="16">
        <v>2445554</v>
      </c>
      <c r="R20" s="16">
        <v>24828</v>
      </c>
      <c r="S20" s="16"/>
      <c r="T20" s="16"/>
      <c r="U20" s="16"/>
      <c r="V20" s="16"/>
      <c r="W20" s="16"/>
      <c r="X20" s="16"/>
      <c r="Y20" s="16">
        <v>68893440</v>
      </c>
      <c r="Z20" s="16">
        <v>19907847</v>
      </c>
      <c r="AA20" s="16">
        <v>48985593</v>
      </c>
      <c r="AB20" s="16">
        <v>9573831</v>
      </c>
      <c r="AC20" s="16">
        <v>29716147</v>
      </c>
      <c r="AD20" s="16">
        <v>10334016</v>
      </c>
      <c r="AE20" s="15">
        <v>19907847</v>
      </c>
      <c r="AF20" s="15">
        <v>38267662</v>
      </c>
      <c r="AG20" s="15">
        <v>378535</v>
      </c>
      <c r="AH20" s="15">
        <v>1624741</v>
      </c>
      <c r="AI20" s="15">
        <v>-27185486</v>
      </c>
      <c r="AJ20" s="15">
        <v>9814090</v>
      </c>
      <c r="AK20" s="15">
        <v>4993116</v>
      </c>
      <c r="AL20" s="15">
        <v>0</v>
      </c>
      <c r="AM20" s="15">
        <v>8983952</v>
      </c>
      <c r="AN20" s="15">
        <v>117669261</v>
      </c>
      <c r="AO20" s="15">
        <v>38070451</v>
      </c>
      <c r="AP20" s="15">
        <v>11708787</v>
      </c>
      <c r="AQ20" s="15">
        <v>182259317</v>
      </c>
      <c r="AR20" s="15">
        <v>90527732</v>
      </c>
      <c r="AS20" s="16">
        <v>78761349</v>
      </c>
      <c r="AT20" s="16">
        <v>2994652</v>
      </c>
      <c r="AU20" s="17">
        <v>0.67236707841870902</v>
      </c>
      <c r="AV20" s="17">
        <v>0.14606311085566501</v>
      </c>
      <c r="AW20" s="17">
        <v>0.70368581928269103</v>
      </c>
      <c r="AX20" s="17">
        <v>0.181569810725625</v>
      </c>
      <c r="AY20" s="17">
        <v>0.52211600855706497</v>
      </c>
      <c r="AZ20" s="17">
        <f t="shared" si="3"/>
        <v>5.2968711986628329E-2</v>
      </c>
      <c r="BA20" s="17">
        <f t="shared" si="4"/>
        <v>0.10441671989067745</v>
      </c>
    </row>
    <row r="21" spans="1:56" ht="15.6" x14ac:dyDescent="0.3">
      <c r="A21" s="14" t="s">
        <v>69</v>
      </c>
      <c r="B21" s="16">
        <v>9110</v>
      </c>
      <c r="C21" s="16">
        <v>399068</v>
      </c>
      <c r="D21" s="16">
        <v>11571743</v>
      </c>
      <c r="E21" s="16">
        <v>15238428</v>
      </c>
      <c r="F21" s="16">
        <v>35318</v>
      </c>
      <c r="G21" s="16">
        <v>0</v>
      </c>
      <c r="H21" s="16">
        <v>51878</v>
      </c>
      <c r="I21" s="16">
        <v>3842</v>
      </c>
      <c r="J21" s="16">
        <v>0</v>
      </c>
      <c r="K21" s="16">
        <v>99695</v>
      </c>
      <c r="L21" s="16">
        <v>3059</v>
      </c>
      <c r="M21" s="16">
        <v>1224785</v>
      </c>
      <c r="N21" s="16">
        <v>38938</v>
      </c>
      <c r="O21" s="16">
        <v>296060</v>
      </c>
      <c r="P21" s="16">
        <v>1370366</v>
      </c>
      <c r="Q21" s="16">
        <v>3239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30345529</v>
      </c>
      <c r="Z21" s="16">
        <v>12537758</v>
      </c>
      <c r="AA21" s="16">
        <v>17807771</v>
      </c>
      <c r="AB21" s="16">
        <v>2513884</v>
      </c>
      <c r="AC21" s="16">
        <v>7718577</v>
      </c>
      <c r="AD21" s="16">
        <v>10023874</v>
      </c>
      <c r="AE21" s="15">
        <v>12537758</v>
      </c>
      <c r="AF21" s="15">
        <v>12622002</v>
      </c>
      <c r="AG21" s="15">
        <v>2593150</v>
      </c>
      <c r="AH21" s="15">
        <v>239118</v>
      </c>
      <c r="AI21" s="15">
        <v>-7557760</v>
      </c>
      <c r="AJ21" s="15">
        <v>5527557</v>
      </c>
      <c r="AK21" s="15">
        <v>10998152</v>
      </c>
      <c r="AL21" s="15">
        <v>10967419</v>
      </c>
      <c r="AM21" s="15">
        <v>4567017</v>
      </c>
      <c r="AN21" s="15">
        <v>81041601</v>
      </c>
      <c r="AO21" s="15">
        <v>13883074</v>
      </c>
      <c r="AP21" s="15">
        <v>28278643</v>
      </c>
      <c r="AQ21" s="15">
        <v>149735906</v>
      </c>
      <c r="AR21" s="15">
        <v>60950265</v>
      </c>
      <c r="AS21" s="16">
        <v>34872626</v>
      </c>
      <c r="AT21" s="16">
        <v>7651478</v>
      </c>
      <c r="AU21" s="17">
        <v>0.52944674795083702</v>
      </c>
      <c r="AV21" s="17">
        <v>5.0088456435205597E-2</v>
      </c>
      <c r="AW21" s="17">
        <v>0.74423082666498397</v>
      </c>
      <c r="AX21" s="17">
        <v>0.420464795613956</v>
      </c>
      <c r="AY21" s="17">
        <v>0.32376603105102703</v>
      </c>
      <c r="AZ21" s="17">
        <f t="shared" si="3"/>
        <v>2.3331155850003681E-2</v>
      </c>
      <c r="BA21" s="17">
        <f t="shared" si="4"/>
        <v>3.4440255255039375E-2</v>
      </c>
    </row>
    <row r="22" spans="1:56" ht="15.6" x14ac:dyDescent="0.3">
      <c r="A22" s="14" t="s">
        <v>70</v>
      </c>
      <c r="B22" s="16"/>
      <c r="C22" s="16">
        <v>6522130</v>
      </c>
      <c r="D22" s="16">
        <v>21594110</v>
      </c>
      <c r="E22" s="16"/>
      <c r="F22" s="16"/>
      <c r="G22" s="16"/>
      <c r="H22" s="16">
        <v>-83898</v>
      </c>
      <c r="I22" s="16"/>
      <c r="J22" s="16"/>
      <c r="K22" s="16"/>
      <c r="L22" s="16"/>
      <c r="M22" s="16">
        <v>-1642389</v>
      </c>
      <c r="N22" s="16">
        <v>1337629</v>
      </c>
      <c r="O22" s="16"/>
      <c r="P22" s="16">
        <v>1220846</v>
      </c>
      <c r="Q22" s="16"/>
      <c r="R22" s="16">
        <v>698156</v>
      </c>
      <c r="S22" s="16"/>
      <c r="T22" s="16"/>
      <c r="U22" s="16"/>
      <c r="V22" s="16"/>
      <c r="W22" s="16"/>
      <c r="X22" s="16"/>
      <c r="Y22" s="16">
        <v>29646584</v>
      </c>
      <c r="Z22" s="16">
        <v>20228933</v>
      </c>
      <c r="AA22" s="16">
        <v>9417651</v>
      </c>
      <c r="AB22" s="16">
        <v>15604367</v>
      </c>
      <c r="AC22" s="16">
        <v>14609755</v>
      </c>
      <c r="AD22" s="16">
        <v>4624566</v>
      </c>
      <c r="AE22" s="15">
        <v>20228933</v>
      </c>
      <c r="AF22" s="15">
        <v>13945086</v>
      </c>
      <c r="AG22" s="15">
        <v>2519867</v>
      </c>
      <c r="AH22" s="15">
        <v>-509636</v>
      </c>
      <c r="AI22" s="15">
        <v>-14441348</v>
      </c>
      <c r="AJ22" s="15">
        <v>-1515263</v>
      </c>
      <c r="AK22" s="15">
        <v>13737859</v>
      </c>
      <c r="AL22" s="15">
        <v>0</v>
      </c>
      <c r="AM22" s="15">
        <v>27365324</v>
      </c>
      <c r="AN22" s="15">
        <v>71068828</v>
      </c>
      <c r="AO22" s="15">
        <v>15941031</v>
      </c>
      <c r="AP22" s="15">
        <v>31269782</v>
      </c>
      <c r="AQ22" s="15">
        <v>160365171</v>
      </c>
      <c r="AR22" s="15">
        <v>90913428</v>
      </c>
      <c r="AS22" s="16">
        <v>67982162</v>
      </c>
      <c r="AT22" s="16">
        <v>0</v>
      </c>
      <c r="AU22" s="17">
        <v>0.47037749779198801</v>
      </c>
      <c r="AV22" s="17">
        <v>0.37363265865639</v>
      </c>
      <c r="AW22" s="17">
        <v>0.64878709128849299</v>
      </c>
      <c r="AX22" s="17">
        <v>0.15598984355162099</v>
      </c>
      <c r="AY22" s="17">
        <v>0.492797247736872</v>
      </c>
      <c r="AZ22" s="17">
        <f t="shared" si="3"/>
        <v>2.2793772081687074E-2</v>
      </c>
      <c r="BA22" s="17">
        <f t="shared" si="4"/>
        <v>3.8050407644799618E-2</v>
      </c>
    </row>
    <row r="23" spans="1:56" ht="15.6" x14ac:dyDescent="0.3">
      <c r="A23" s="14" t="s">
        <v>71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>
        <v>0</v>
      </c>
      <c r="AS23" s="16"/>
      <c r="AT23" s="16"/>
      <c r="AU23" s="17"/>
      <c r="AV23" s="17"/>
      <c r="AW23" s="17"/>
      <c r="AX23" s="17"/>
      <c r="AY23" s="17"/>
      <c r="AZ23" s="17">
        <f t="shared" si="3"/>
        <v>0</v>
      </c>
      <c r="BA23" s="17">
        <f t="shared" si="4"/>
        <v>0</v>
      </c>
    </row>
    <row r="24" spans="1:56" ht="15.6" x14ac:dyDescent="0.3">
      <c r="A24" s="14" t="s">
        <v>83</v>
      </c>
      <c r="B24" s="16"/>
      <c r="C24" s="16">
        <v>3842623</v>
      </c>
      <c r="D24" s="16">
        <v>15245456</v>
      </c>
      <c r="E24" s="16"/>
      <c r="F24" s="16"/>
      <c r="G24" s="16"/>
      <c r="H24" s="16">
        <v>4250169</v>
      </c>
      <c r="I24" s="16"/>
      <c r="J24" s="16">
        <v>313180</v>
      </c>
      <c r="K24" s="16">
        <v>817954</v>
      </c>
      <c r="L24" s="16"/>
      <c r="M24" s="16"/>
      <c r="N24" s="16">
        <v>366944</v>
      </c>
      <c r="O24" s="16"/>
      <c r="P24" s="16">
        <v>1175821</v>
      </c>
      <c r="Q24" s="16">
        <v>4795161</v>
      </c>
      <c r="R24" s="16"/>
      <c r="S24" s="16"/>
      <c r="T24" s="16"/>
      <c r="U24" s="16"/>
      <c r="V24" s="16"/>
      <c r="W24" s="16"/>
      <c r="X24" s="16"/>
      <c r="Y24" s="16">
        <v>30807308</v>
      </c>
      <c r="Z24" s="16">
        <v>14217177</v>
      </c>
      <c r="AA24" s="16">
        <v>16590131</v>
      </c>
      <c r="AB24" s="16">
        <v>10372504</v>
      </c>
      <c r="AC24" s="16">
        <v>11788842</v>
      </c>
      <c r="AD24" s="16">
        <v>3844673</v>
      </c>
      <c r="AE24" s="15">
        <v>14217177</v>
      </c>
      <c r="AF24" s="15">
        <v>12078578</v>
      </c>
      <c r="AG24" s="15">
        <v>6435519</v>
      </c>
      <c r="AH24" s="15">
        <v>0</v>
      </c>
      <c r="AI24" s="15">
        <v>-11788842</v>
      </c>
      <c r="AJ24" s="15">
        <v>4707817</v>
      </c>
      <c r="AK24" s="15">
        <v>36338211</v>
      </c>
      <c r="AL24" s="15">
        <v>14127286</v>
      </c>
      <c r="AM24" s="15">
        <v>79498023</v>
      </c>
      <c r="AN24" s="15">
        <v>226222254</v>
      </c>
      <c r="AO24" s="15">
        <v>17962700</v>
      </c>
      <c r="AP24" s="15">
        <v>4304880</v>
      </c>
      <c r="AQ24" s="15">
        <v>378643902</v>
      </c>
      <c r="AR24" s="15">
        <v>203173762</v>
      </c>
      <c r="AS24" s="16">
        <v>144745378</v>
      </c>
      <c r="AT24" s="16">
        <v>7333625</v>
      </c>
      <c r="AU24" s="17">
        <v>0.61321549680516696</v>
      </c>
      <c r="AV24" s="17">
        <v>0.191594882053303</v>
      </c>
      <c r="AW24" s="17">
        <v>0.79369555485223697</v>
      </c>
      <c r="AX24" s="17">
        <v>0.19518962114152899</v>
      </c>
      <c r="AY24" s="17">
        <v>0.59850593371070804</v>
      </c>
      <c r="AZ24" s="17">
        <f t="shared" si="3"/>
        <v>2.3686194571433082E-2</v>
      </c>
      <c r="BA24" s="17">
        <f t="shared" si="4"/>
        <v>3.2957474530419424E-2</v>
      </c>
    </row>
    <row r="25" spans="1:56" ht="15.6" x14ac:dyDescent="0.3">
      <c r="A25" s="14" t="s">
        <v>73</v>
      </c>
      <c r="B25" s="16">
        <v>9179638</v>
      </c>
      <c r="C25" s="16">
        <v>16896159</v>
      </c>
      <c r="D25" s="16">
        <v>1653304</v>
      </c>
      <c r="E25" s="16">
        <v>115996</v>
      </c>
      <c r="F25" s="16">
        <v>666256</v>
      </c>
      <c r="G25" s="16">
        <v>3789031</v>
      </c>
      <c r="H25" s="16">
        <v>12883</v>
      </c>
      <c r="I25" s="16">
        <v>54368</v>
      </c>
      <c r="J25" s="16">
        <v>0</v>
      </c>
      <c r="K25" s="16">
        <v>3189</v>
      </c>
      <c r="L25" s="16">
        <v>42367</v>
      </c>
      <c r="M25" s="16">
        <v>531112</v>
      </c>
      <c r="N25" s="16">
        <v>726720</v>
      </c>
      <c r="O25" s="16">
        <v>0</v>
      </c>
      <c r="P25" s="16">
        <v>205795</v>
      </c>
      <c r="Q25" s="16">
        <v>13402</v>
      </c>
      <c r="R25" s="16">
        <v>102174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33992394</v>
      </c>
      <c r="Z25" s="16">
        <v>4756353</v>
      </c>
      <c r="AA25" s="16">
        <v>29236041</v>
      </c>
      <c r="AB25" s="16">
        <v>3418940</v>
      </c>
      <c r="AC25" s="16">
        <v>17595758</v>
      </c>
      <c r="AD25" s="16">
        <v>1337413</v>
      </c>
      <c r="AE25" s="15">
        <v>4756353</v>
      </c>
      <c r="AF25" s="15">
        <v>17134676</v>
      </c>
      <c r="AG25" s="15">
        <v>1695940</v>
      </c>
      <c r="AH25" s="15">
        <v>0</v>
      </c>
      <c r="AI25" s="15">
        <v>-17595758</v>
      </c>
      <c r="AJ25" s="15">
        <v>864401</v>
      </c>
      <c r="AK25" s="15">
        <v>295272</v>
      </c>
      <c r="AL25" s="15">
        <v>0</v>
      </c>
      <c r="AM25" s="15">
        <v>39648573</v>
      </c>
      <c r="AN25" s="15">
        <v>63402921</v>
      </c>
      <c r="AO25" s="15">
        <v>38482360</v>
      </c>
      <c r="AP25" s="15">
        <v>6212944</v>
      </c>
      <c r="AQ25" s="15">
        <v>148042070</v>
      </c>
      <c r="AR25" s="15">
        <v>70628073</v>
      </c>
      <c r="AS25" s="16">
        <v>57315728</v>
      </c>
      <c r="AT25" s="16">
        <v>0</v>
      </c>
      <c r="AU25" s="17">
        <v>0.78272592850706102</v>
      </c>
      <c r="AV25" s="17">
        <v>0.15617995846609101</v>
      </c>
      <c r="AW25" s="17">
        <v>0.86488264210878296</v>
      </c>
      <c r="AX25" s="17">
        <v>6.1094113026847599E-2</v>
      </c>
      <c r="AY25" s="17">
        <v>0.80378852908193499</v>
      </c>
      <c r="AZ25" s="17">
        <f t="shared" si="3"/>
        <v>2.6135047509922467E-2</v>
      </c>
      <c r="BA25" s="17">
        <f t="shared" si="4"/>
        <v>4.6753487691762137E-2</v>
      </c>
    </row>
    <row r="26" spans="1:56" ht="15.6" x14ac:dyDescent="0.3">
      <c r="A26" s="14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>
        <v>0</v>
      </c>
      <c r="AS26" s="16"/>
      <c r="AT26" s="16"/>
      <c r="AU26" s="17"/>
      <c r="AV26" s="17"/>
      <c r="AW26" s="17"/>
      <c r="AX26" s="17"/>
      <c r="AY26" s="17"/>
      <c r="AZ26" s="17">
        <f t="shared" si="3"/>
        <v>0</v>
      </c>
      <c r="BA26" s="17">
        <f t="shared" si="4"/>
        <v>0</v>
      </c>
    </row>
    <row r="27" spans="1:56" ht="15.6" x14ac:dyDescent="0.3">
      <c r="A27" s="14" t="s">
        <v>75</v>
      </c>
      <c r="B27" s="16"/>
      <c r="C27" s="16">
        <v>46827947</v>
      </c>
      <c r="D27" s="16">
        <v>48026187</v>
      </c>
      <c r="E27" s="16"/>
      <c r="F27" s="16"/>
      <c r="G27" s="16"/>
      <c r="H27" s="16">
        <v>14345690</v>
      </c>
      <c r="I27" s="16"/>
      <c r="J27" s="16">
        <v>1295442</v>
      </c>
      <c r="K27" s="16"/>
      <c r="L27" s="16"/>
      <c r="M27" s="16"/>
      <c r="N27" s="16">
        <v>8463619</v>
      </c>
      <c r="O27" s="16"/>
      <c r="P27" s="16">
        <v>5663675</v>
      </c>
      <c r="Q27" s="16"/>
      <c r="R27" s="16"/>
      <c r="S27" s="16">
        <v>2041442</v>
      </c>
      <c r="T27" s="16"/>
      <c r="U27" s="16"/>
      <c r="V27" s="16"/>
      <c r="W27" s="16"/>
      <c r="X27" s="16"/>
      <c r="Y27" s="16">
        <v>126664002</v>
      </c>
      <c r="Z27" s="16">
        <v>17424635</v>
      </c>
      <c r="AA27" s="16">
        <v>109239367</v>
      </c>
      <c r="AB27" s="16">
        <v>-6808638</v>
      </c>
      <c r="AC27" s="16">
        <v>20094626</v>
      </c>
      <c r="AD27" s="16">
        <v>24233273</v>
      </c>
      <c r="AE27" s="15">
        <v>17424635</v>
      </c>
      <c r="AF27" s="15">
        <v>34674405</v>
      </c>
      <c r="AG27" s="15">
        <v>3681237</v>
      </c>
      <c r="AH27" s="15">
        <v>327795</v>
      </c>
      <c r="AI27" s="15">
        <v>-19889845</v>
      </c>
      <c r="AJ27" s="15">
        <v>11709591</v>
      </c>
      <c r="AK27" s="15">
        <v>18664792</v>
      </c>
      <c r="AL27" s="15">
        <v>7778664</v>
      </c>
      <c r="AM27" s="15">
        <v>86831399</v>
      </c>
      <c r="AN27" s="15">
        <v>851388735</v>
      </c>
      <c r="AO27" s="15">
        <v>85741789</v>
      </c>
      <c r="AP27" s="15">
        <v>13830221</v>
      </c>
      <c r="AQ27" s="15">
        <v>1106612685</v>
      </c>
      <c r="AR27" s="15">
        <v>450202316</v>
      </c>
      <c r="AS27" s="16">
        <v>201274316</v>
      </c>
      <c r="AT27" s="16">
        <v>68634795</v>
      </c>
      <c r="AU27" s="17">
        <v>0.466234189330687</v>
      </c>
      <c r="AV27" s="17">
        <v>0.20792372651576399</v>
      </c>
      <c r="AW27" s="17">
        <v>0.59603566535597596</v>
      </c>
      <c r="AX27" s="17">
        <v>0.32584208415354798</v>
      </c>
      <c r="AY27" s="17">
        <v>0.27019358120242698</v>
      </c>
      <c r="AZ27" s="17">
        <f t="shared" si="3"/>
        <v>9.738560073370868E-2</v>
      </c>
      <c r="BA27" s="17">
        <f t="shared" si="4"/>
        <v>9.4612198525765856E-2</v>
      </c>
    </row>
    <row r="28" spans="1:56" ht="15.6" x14ac:dyDescent="0.3">
      <c r="A28" s="14" t="s">
        <v>76</v>
      </c>
      <c r="B28" s="16">
        <v>8126760</v>
      </c>
      <c r="C28" s="16"/>
      <c r="D28" s="16">
        <v>17993257</v>
      </c>
      <c r="E28" s="16"/>
      <c r="F28" s="16"/>
      <c r="G28" s="16"/>
      <c r="H28" s="16">
        <v>2399352</v>
      </c>
      <c r="I28" s="16"/>
      <c r="J28" s="16"/>
      <c r="K28" s="16"/>
      <c r="L28" s="16"/>
      <c r="M28" s="16"/>
      <c r="N28" s="16">
        <v>1524128</v>
      </c>
      <c r="O28" s="16"/>
      <c r="P28" s="16">
        <v>1148238</v>
      </c>
      <c r="Q28" s="16">
        <v>189184</v>
      </c>
      <c r="R28" s="16"/>
      <c r="S28" s="16"/>
      <c r="T28" s="16"/>
      <c r="U28" s="16"/>
      <c r="V28" s="16"/>
      <c r="W28" s="16"/>
      <c r="X28" s="16"/>
      <c r="Y28" s="16">
        <v>31380919</v>
      </c>
      <c r="Z28" s="16">
        <v>29145605</v>
      </c>
      <c r="AA28" s="16">
        <v>2235314</v>
      </c>
      <c r="AB28" s="16">
        <v>11239041</v>
      </c>
      <c r="AC28" s="16">
        <v>3308951</v>
      </c>
      <c r="AD28" s="16">
        <v>17906564</v>
      </c>
      <c r="AE28" s="15">
        <v>29145605</v>
      </c>
      <c r="AF28" s="15">
        <v>5117710</v>
      </c>
      <c r="AG28" s="15">
        <v>8198195</v>
      </c>
      <c r="AH28" s="15">
        <v>0</v>
      </c>
      <c r="AI28" s="15">
        <v>-3248856</v>
      </c>
      <c r="AJ28" s="15">
        <v>7730692</v>
      </c>
      <c r="AK28" s="15">
        <v>14590075</v>
      </c>
      <c r="AL28" s="15">
        <v>0</v>
      </c>
      <c r="AM28" s="15">
        <v>19477695</v>
      </c>
      <c r="AN28" s="15">
        <v>124839256</v>
      </c>
      <c r="AO28" s="15">
        <v>12101168</v>
      </c>
      <c r="AP28" s="15">
        <v>15268742</v>
      </c>
      <c r="AQ28" s="15">
        <v>186276936</v>
      </c>
      <c r="AR28" s="15">
        <v>87998921</v>
      </c>
      <c r="AS28" s="16">
        <v>73698700</v>
      </c>
      <c r="AT28" s="16">
        <v>0</v>
      </c>
      <c r="AU28" s="17">
        <v>0.17007414130705201</v>
      </c>
      <c r="AV28" s="17">
        <v>0.23484651733523501</v>
      </c>
      <c r="AW28" s="17">
        <v>0.70504395442725099</v>
      </c>
      <c r="AX28" s="17">
        <v>0.59507934135771101</v>
      </c>
      <c r="AY28" s="17">
        <v>0.109964613069539</v>
      </c>
      <c r="AZ28" s="17">
        <f t="shared" si="3"/>
        <v>2.4127215310873033E-2</v>
      </c>
      <c r="BA28" s="17">
        <f t="shared" si="4"/>
        <v>1.3964126984076501E-2</v>
      </c>
    </row>
    <row r="29" spans="1:56" ht="15.6" x14ac:dyDescent="0.3">
      <c r="A29" s="14" t="s">
        <v>77</v>
      </c>
      <c r="B29" s="16">
        <v>282645</v>
      </c>
      <c r="C29" s="16">
        <v>1070963</v>
      </c>
      <c r="D29" s="16">
        <v>12008587</v>
      </c>
      <c r="E29" s="16">
        <v>6615591</v>
      </c>
      <c r="F29" s="16">
        <v>14315</v>
      </c>
      <c r="G29" s="16">
        <v>0</v>
      </c>
      <c r="H29" s="16">
        <v>75568</v>
      </c>
      <c r="I29" s="16">
        <v>15620</v>
      </c>
      <c r="J29" s="16">
        <v>424496</v>
      </c>
      <c r="K29" s="16">
        <v>738961</v>
      </c>
      <c r="L29" s="16">
        <v>116173</v>
      </c>
      <c r="M29" s="16">
        <v>306873</v>
      </c>
      <c r="N29" s="16">
        <v>22604</v>
      </c>
      <c r="O29" s="16">
        <v>2569</v>
      </c>
      <c r="P29" s="16">
        <v>68603</v>
      </c>
      <c r="Q29" s="16">
        <v>37504</v>
      </c>
      <c r="R29" s="16">
        <v>1455</v>
      </c>
      <c r="S29" s="16"/>
      <c r="T29" s="16"/>
      <c r="U29" s="16"/>
      <c r="V29" s="16"/>
      <c r="W29" s="16"/>
      <c r="X29" s="16"/>
      <c r="Y29" s="16">
        <v>21802527</v>
      </c>
      <c r="Z29" s="16">
        <v>14485172</v>
      </c>
      <c r="AA29" s="16">
        <v>7317355</v>
      </c>
      <c r="AB29" s="16">
        <v>8886437</v>
      </c>
      <c r="AC29" s="16">
        <v>4139860</v>
      </c>
      <c r="AD29" s="16">
        <v>5598735</v>
      </c>
      <c r="AE29" s="15">
        <v>14485172</v>
      </c>
      <c r="AF29" s="15">
        <v>5670762</v>
      </c>
      <c r="AG29" s="15">
        <v>3572821</v>
      </c>
      <c r="AH29" s="15">
        <v>44908</v>
      </c>
      <c r="AI29" s="15">
        <v>-3559491</v>
      </c>
      <c r="AJ29" s="15">
        <v>4010300</v>
      </c>
      <c r="AK29" s="15">
        <v>4003715</v>
      </c>
      <c r="AL29" s="15">
        <v>0</v>
      </c>
      <c r="AM29" s="15">
        <v>8040991</v>
      </c>
      <c r="AN29" s="15">
        <v>99323676</v>
      </c>
      <c r="AO29" s="15">
        <v>24340116</v>
      </c>
      <c r="AP29" s="15">
        <v>4604477</v>
      </c>
      <c r="AQ29" s="15">
        <v>140954319</v>
      </c>
      <c r="AR29" s="15">
        <v>46728175</v>
      </c>
      <c r="AS29" s="16">
        <v>33531191</v>
      </c>
      <c r="AT29" s="16">
        <v>0</v>
      </c>
      <c r="AU29" s="17">
        <v>0.26885795810049001</v>
      </c>
      <c r="AV29" s="17">
        <v>0.46569897445182701</v>
      </c>
      <c r="AW29" s="17">
        <v>0.46171903643066797</v>
      </c>
      <c r="AX29" s="17">
        <v>0.26544306744768098</v>
      </c>
      <c r="AY29" s="17">
        <v>0.19627596898298599</v>
      </c>
      <c r="AZ29" s="17">
        <f t="shared" si="3"/>
        <v>1.6762869922647028E-2</v>
      </c>
      <c r="BA29" s="17">
        <f t="shared" si="4"/>
        <v>1.5473178563161185E-2</v>
      </c>
    </row>
    <row r="30" spans="1:56" ht="15.6" x14ac:dyDescent="0.3">
      <c r="A30" s="14" t="s">
        <v>78</v>
      </c>
      <c r="B30" s="16">
        <v>1366286</v>
      </c>
      <c r="C30" s="16">
        <v>11361137</v>
      </c>
      <c r="D30" s="16">
        <v>55060681</v>
      </c>
      <c r="E30" s="16">
        <v>9291215</v>
      </c>
      <c r="F30" s="16">
        <v>132451</v>
      </c>
      <c r="G30" s="16">
        <v>0</v>
      </c>
      <c r="H30" s="16">
        <v>1371088</v>
      </c>
      <c r="I30" s="16">
        <v>316493</v>
      </c>
      <c r="J30" s="16">
        <v>2909736</v>
      </c>
      <c r="K30" s="16">
        <v>1077832</v>
      </c>
      <c r="L30" s="16">
        <v>7685</v>
      </c>
      <c r="M30" s="16">
        <v>5397332</v>
      </c>
      <c r="N30" s="16">
        <v>487007</v>
      </c>
      <c r="O30" s="16">
        <v>3931096</v>
      </c>
      <c r="P30" s="16">
        <v>3653292</v>
      </c>
      <c r="Q30" s="16">
        <v>1372110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1130625</v>
      </c>
      <c r="X30" s="16">
        <v>0</v>
      </c>
      <c r="Y30" s="16">
        <v>98866066</v>
      </c>
      <c r="Z30" s="16">
        <v>49946934</v>
      </c>
      <c r="AA30" s="16">
        <v>48919132</v>
      </c>
      <c r="AB30" s="16">
        <v>33856558</v>
      </c>
      <c r="AC30" s="16">
        <v>27686536</v>
      </c>
      <c r="AD30" s="16">
        <v>16090376</v>
      </c>
      <c r="AE30" s="15">
        <v>49946934</v>
      </c>
      <c r="AF30" s="15">
        <v>36183577</v>
      </c>
      <c r="AG30" s="15">
        <v>1558373</v>
      </c>
      <c r="AH30" s="15">
        <v>0</v>
      </c>
      <c r="AI30" s="15">
        <v>-27404746</v>
      </c>
      <c r="AJ30" s="15">
        <v>8837204</v>
      </c>
      <c r="AK30" s="15">
        <v>79246965</v>
      </c>
      <c r="AL30" s="15">
        <v>0</v>
      </c>
      <c r="AM30" s="15">
        <v>47127658</v>
      </c>
      <c r="AN30" s="15">
        <v>189006950</v>
      </c>
      <c r="AO30" s="15">
        <v>158264540</v>
      </c>
      <c r="AP30" s="15">
        <v>49894102</v>
      </c>
      <c r="AQ30" s="15">
        <v>523540215</v>
      </c>
      <c r="AR30" s="15">
        <v>350475778</v>
      </c>
      <c r="AS30" s="16">
        <v>239428402</v>
      </c>
      <c r="AT30" s="16">
        <v>0</v>
      </c>
      <c r="AU30" s="17">
        <v>0.46013065121570601</v>
      </c>
      <c r="AV30" s="17">
        <v>0.33525510660515301</v>
      </c>
      <c r="AW30" s="17">
        <v>0.55669175622887301</v>
      </c>
      <c r="AX30" s="17">
        <v>0.20461424217914001</v>
      </c>
      <c r="AY30" s="17">
        <v>0.35207751404973298</v>
      </c>
      <c r="AZ30" s="17">
        <f t="shared" si="3"/>
        <v>7.6013161415731126E-2</v>
      </c>
      <c r="BA30" s="17">
        <f t="shared" si="4"/>
        <v>9.8730108577099879E-2</v>
      </c>
    </row>
    <row r="31" spans="1:56" ht="15.6" x14ac:dyDescent="0.3">
      <c r="A31" s="19" t="s">
        <v>79</v>
      </c>
      <c r="B31" s="28">
        <f t="shared" ref="B31:AR31" si="5">SUM(B6:B30)</f>
        <v>31407600.060000002</v>
      </c>
      <c r="C31" s="28">
        <f t="shared" si="5"/>
        <v>399645153.81</v>
      </c>
      <c r="D31" s="28">
        <f t="shared" si="5"/>
        <v>457621791.94999999</v>
      </c>
      <c r="E31" s="28">
        <f t="shared" si="5"/>
        <v>73770245.319999993</v>
      </c>
      <c r="F31" s="28">
        <f t="shared" si="5"/>
        <v>2357964.02</v>
      </c>
      <c r="G31" s="28">
        <f t="shared" si="5"/>
        <v>3789031</v>
      </c>
      <c r="H31" s="28">
        <f t="shared" si="5"/>
        <v>44554524.189999998</v>
      </c>
      <c r="I31" s="28">
        <f t="shared" si="5"/>
        <v>3350370.96</v>
      </c>
      <c r="J31" s="28">
        <f t="shared" si="5"/>
        <v>6624311.1299999999</v>
      </c>
      <c r="K31" s="28">
        <f t="shared" si="5"/>
        <v>13433934.720000001</v>
      </c>
      <c r="L31" s="28">
        <f t="shared" si="5"/>
        <v>4587752.7699999996</v>
      </c>
      <c r="M31" s="28">
        <f t="shared" si="5"/>
        <v>60528983.659999996</v>
      </c>
      <c r="N31" s="28">
        <f t="shared" si="5"/>
        <v>37344467.399999999</v>
      </c>
      <c r="O31" s="28">
        <f t="shared" si="5"/>
        <v>22080578.98</v>
      </c>
      <c r="P31" s="28">
        <f t="shared" si="5"/>
        <v>44429397.789999999</v>
      </c>
      <c r="Q31" s="28">
        <f t="shared" si="5"/>
        <v>80145367.289999992</v>
      </c>
      <c r="R31" s="28">
        <f t="shared" si="5"/>
        <v>10683615.41</v>
      </c>
      <c r="S31" s="28">
        <f t="shared" si="5"/>
        <v>3074538</v>
      </c>
      <c r="T31" s="28">
        <f t="shared" si="5"/>
        <v>0</v>
      </c>
      <c r="U31" s="28">
        <f t="shared" si="5"/>
        <v>83795</v>
      </c>
      <c r="V31" s="28">
        <f t="shared" si="5"/>
        <v>0</v>
      </c>
      <c r="W31" s="28">
        <f t="shared" si="5"/>
        <v>1130625</v>
      </c>
      <c r="X31" s="28">
        <f t="shared" si="5"/>
        <v>0</v>
      </c>
      <c r="Y31" s="28">
        <f t="shared" si="5"/>
        <v>1300644048.46</v>
      </c>
      <c r="Z31" s="25">
        <f t="shared" si="5"/>
        <v>484338499.65999997</v>
      </c>
      <c r="AA31" s="25">
        <f t="shared" si="5"/>
        <v>816305548.79999995</v>
      </c>
      <c r="AB31" s="25">
        <f t="shared" si="5"/>
        <v>252567940.49000001</v>
      </c>
      <c r="AC31" s="25">
        <f t="shared" si="5"/>
        <v>249146635</v>
      </c>
      <c r="AD31" s="25">
        <f t="shared" si="5"/>
        <v>231770559.17000002</v>
      </c>
      <c r="AE31" s="25">
        <f t="shared" si="5"/>
        <v>484338499.65999997</v>
      </c>
      <c r="AF31" s="25">
        <f t="shared" si="5"/>
        <v>366489792.44</v>
      </c>
      <c r="AG31" s="25">
        <f t="shared" si="5"/>
        <v>97233073.969999894</v>
      </c>
      <c r="AH31" s="25">
        <f t="shared" si="5"/>
        <v>-1491790.4099999992</v>
      </c>
      <c r="AI31" s="25">
        <f t="shared" si="5"/>
        <v>-237573870.53</v>
      </c>
      <c r="AJ31" s="25">
        <f t="shared" si="5"/>
        <v>160183423.46999991</v>
      </c>
      <c r="AK31" s="25">
        <f t="shared" si="5"/>
        <v>737679380.049999</v>
      </c>
      <c r="AL31" s="25">
        <f t="shared" si="5"/>
        <v>37166560</v>
      </c>
      <c r="AM31" s="25">
        <f t="shared" si="5"/>
        <v>1294419501.71</v>
      </c>
      <c r="AN31" s="25">
        <f t="shared" si="5"/>
        <v>3539474662.5299997</v>
      </c>
      <c r="AO31" s="25">
        <f t="shared" si="5"/>
        <v>723293238.12926161</v>
      </c>
      <c r="AP31" s="25">
        <f t="shared" si="5"/>
        <v>440004683.08999991</v>
      </c>
      <c r="AQ31" s="25">
        <f t="shared" si="5"/>
        <v>6837609794.8299999</v>
      </c>
      <c r="AR31" s="25">
        <f t="shared" si="5"/>
        <v>3815479359.2248163</v>
      </c>
      <c r="AS31" s="26">
        <f>SUM(AS6:AS30)</f>
        <v>2778990557.3899999</v>
      </c>
      <c r="AT31" s="26">
        <f>SUM(AT6:AT30)</f>
        <v>105712595</v>
      </c>
      <c r="AU31" s="27">
        <f>AVERAGE(AU6:AU30)</f>
        <v>0.40669426124824726</v>
      </c>
      <c r="AV31" s="27">
        <f>AVERAGE(AV6:AV30)</f>
        <v>0.28237752695015783</v>
      </c>
      <c r="AW31" s="27">
        <f>AVERAGE(AW6:AW30)</f>
        <v>0.76047951496221877</v>
      </c>
      <c r="AX31" s="27">
        <f>AVERAGE(AX6:AX30)</f>
        <v>0.31092821180159369</v>
      </c>
      <c r="AY31" s="27">
        <f>AVERAGE(AY6:AY30)</f>
        <v>0.44955130316062475</v>
      </c>
      <c r="AZ31" s="27">
        <f>SUM(AZ6:AZ30)</f>
        <v>1</v>
      </c>
      <c r="BA31" s="27">
        <f>SUM(BA6:BA30)</f>
        <v>1</v>
      </c>
    </row>
  </sheetData>
  <mergeCells count="1">
    <mergeCell ref="Z1:BA1"/>
  </mergeCells>
  <dataValidations count="1">
    <dataValidation type="list" allowBlank="1" showInputMessage="1" showErrorMessage="1" sqref="A3" xr:uid="{1D3637FA-4A14-458D-82ED-438B488BF71A}">
      <formula1>$A$6:$A$30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BDF8-A6F0-4C77-BF52-F89FC693665F}">
  <dimension ref="A1:BD31"/>
  <sheetViews>
    <sheetView workbookViewId="0">
      <pane xSplit="1" topLeftCell="B1" activePane="topRight" state="frozen"/>
      <selection activeCell="AB38" sqref="AB38"/>
      <selection pane="topRight" activeCell="AB38" sqref="AB38"/>
    </sheetView>
  </sheetViews>
  <sheetFormatPr defaultRowHeight="13.2" x14ac:dyDescent="0.25"/>
  <cols>
    <col min="1" max="1" width="50.77734375" bestFit="1" customWidth="1"/>
    <col min="2" max="2" width="33.44140625" bestFit="1" customWidth="1"/>
    <col min="3" max="3" width="37.21875" bestFit="1" customWidth="1"/>
    <col min="4" max="4" width="21.77734375" bestFit="1" customWidth="1"/>
    <col min="5" max="5" width="17.77734375" bestFit="1" customWidth="1"/>
    <col min="6" max="6" width="30.21875" bestFit="1" customWidth="1"/>
    <col min="7" max="7" width="15.77734375" bestFit="1" customWidth="1"/>
    <col min="8" max="8" width="23.77734375" bestFit="1" customWidth="1"/>
    <col min="9" max="9" width="31.5546875" bestFit="1" customWidth="1"/>
    <col min="10" max="11" width="50.77734375" customWidth="1"/>
    <col min="12" max="12" width="18" bestFit="1" customWidth="1"/>
    <col min="13" max="13" width="16.21875" bestFit="1" customWidth="1"/>
    <col min="14" max="14" width="15.21875" bestFit="1" customWidth="1"/>
    <col min="15" max="15" width="19.44140625" bestFit="1" customWidth="1"/>
    <col min="16" max="16" width="15.21875" bestFit="1" customWidth="1"/>
    <col min="17" max="18" width="14.44140625" bestFit="1" customWidth="1"/>
    <col min="19" max="19" width="13.21875" bestFit="1" customWidth="1"/>
    <col min="20" max="20" width="25.44140625" bestFit="1" customWidth="1"/>
    <col min="21" max="21" width="21.77734375" bestFit="1" customWidth="1"/>
    <col min="22" max="22" width="25" bestFit="1" customWidth="1"/>
    <col min="23" max="23" width="14.21875" bestFit="1" customWidth="1"/>
    <col min="24" max="24" width="23" bestFit="1" customWidth="1"/>
    <col min="25" max="25" width="27" bestFit="1" customWidth="1"/>
    <col min="26" max="27" width="20" bestFit="1" customWidth="1"/>
    <col min="28" max="28" width="17.77734375" customWidth="1"/>
    <col min="29" max="29" width="17.77734375" bestFit="1" customWidth="1"/>
    <col min="30" max="31" width="17.77734375" customWidth="1"/>
    <col min="32" max="32" width="16.21875" bestFit="1" customWidth="1"/>
    <col min="33" max="33" width="17.77734375" bestFit="1" customWidth="1"/>
    <col min="34" max="34" width="17" customWidth="1"/>
    <col min="35" max="37" width="17.77734375" bestFit="1" customWidth="1"/>
    <col min="38" max="39" width="20" bestFit="1" customWidth="1"/>
    <col min="40" max="40" width="14" bestFit="1" customWidth="1"/>
    <col min="41" max="42" width="13.77734375" bestFit="1" customWidth="1"/>
    <col min="43" max="43" width="17.77734375" bestFit="1" customWidth="1"/>
    <col min="44" max="44" width="17.77734375" customWidth="1"/>
    <col min="45" max="45" width="18.21875" customWidth="1"/>
    <col min="46" max="46" width="18.77734375" bestFit="1" customWidth="1"/>
    <col min="47" max="47" width="18.77734375" customWidth="1"/>
    <col min="48" max="51" width="13" customWidth="1"/>
    <col min="53" max="53" width="11.21875" bestFit="1" customWidth="1"/>
  </cols>
  <sheetData>
    <row r="1" spans="1:53" ht="23.4" x14ac:dyDescent="0.45">
      <c r="A1" s="1" t="s">
        <v>88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53.4" x14ac:dyDescent="0.3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5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5" t="s">
        <v>40</v>
      </c>
      <c r="AO2" s="4" t="s">
        <v>41</v>
      </c>
      <c r="AP2" s="4" t="s">
        <v>42</v>
      </c>
      <c r="AQ2" s="4" t="s">
        <v>43</v>
      </c>
      <c r="AR2" s="4" t="s">
        <v>85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86</v>
      </c>
    </row>
    <row r="3" spans="1:53" ht="15.6" x14ac:dyDescent="0.3">
      <c r="A3" s="7" t="s">
        <v>52</v>
      </c>
      <c r="B3" s="8">
        <f t="shared" ref="B3:BA3" si="0">INDEX(B6:B30,MATCH($A$3,$A$6:$A$30,0))</f>
        <v>604266</v>
      </c>
      <c r="C3" s="8">
        <f t="shared" si="0"/>
        <v>4791852</v>
      </c>
      <c r="D3" s="8">
        <f t="shared" si="0"/>
        <v>18299718</v>
      </c>
      <c r="E3" s="8">
        <f t="shared" si="0"/>
        <v>14438239</v>
      </c>
      <c r="F3" s="8">
        <f t="shared" si="0"/>
        <v>0</v>
      </c>
      <c r="G3" s="8">
        <f t="shared" si="0"/>
        <v>0</v>
      </c>
      <c r="H3" s="8">
        <f t="shared" si="0"/>
        <v>282210</v>
      </c>
      <c r="I3" s="8">
        <f t="shared" si="0"/>
        <v>56197</v>
      </c>
      <c r="J3" s="8">
        <f t="shared" si="0"/>
        <v>0</v>
      </c>
      <c r="K3" s="8">
        <f t="shared" si="0"/>
        <v>1474318</v>
      </c>
      <c r="L3" s="8">
        <f t="shared" si="0"/>
        <v>137306</v>
      </c>
      <c r="M3" s="8">
        <f t="shared" si="0"/>
        <v>530778</v>
      </c>
      <c r="N3" s="8">
        <f t="shared" si="0"/>
        <v>833845</v>
      </c>
      <c r="O3" s="8">
        <f t="shared" si="0"/>
        <v>13127</v>
      </c>
      <c r="P3" s="8">
        <f t="shared" si="0"/>
        <v>2347911</v>
      </c>
      <c r="Q3" s="8">
        <f t="shared" si="0"/>
        <v>209534</v>
      </c>
      <c r="R3" s="8">
        <f t="shared" si="0"/>
        <v>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44019301</v>
      </c>
      <c r="Z3" s="8">
        <f t="shared" si="0"/>
        <v>22436293</v>
      </c>
      <c r="AA3" s="8">
        <f t="shared" si="0"/>
        <v>21583008</v>
      </c>
      <c r="AB3" s="8">
        <f t="shared" si="0"/>
        <v>5630443</v>
      </c>
      <c r="AC3" s="8">
        <f t="shared" si="0"/>
        <v>10237815</v>
      </c>
      <c r="AD3" s="8">
        <f t="shared" si="0"/>
        <v>16805850</v>
      </c>
      <c r="AE3" s="8">
        <f t="shared" si="0"/>
        <v>22436293</v>
      </c>
      <c r="AF3" s="8">
        <f t="shared" si="0"/>
        <v>16363571</v>
      </c>
      <c r="AG3" s="8">
        <f t="shared" si="0"/>
        <v>-9504067</v>
      </c>
      <c r="AH3" s="8">
        <f t="shared" si="0"/>
        <v>0</v>
      </c>
      <c r="AI3" s="8">
        <f t="shared" si="0"/>
        <v>-9491850</v>
      </c>
      <c r="AJ3" s="8">
        <f t="shared" si="0"/>
        <v>-2632346</v>
      </c>
      <c r="AK3" s="8">
        <f t="shared" si="0"/>
        <v>22367123</v>
      </c>
      <c r="AL3" s="8">
        <f t="shared" si="0"/>
        <v>0</v>
      </c>
      <c r="AM3" s="8">
        <f t="shared" si="0"/>
        <v>12258340</v>
      </c>
      <c r="AN3" s="8">
        <f t="shared" si="0"/>
        <v>54853581</v>
      </c>
      <c r="AO3" s="8">
        <f t="shared" si="0"/>
        <v>14350546</v>
      </c>
      <c r="AP3" s="8">
        <f t="shared" si="0"/>
        <v>13465407</v>
      </c>
      <c r="AQ3" s="8">
        <f t="shared" si="0"/>
        <v>123082399</v>
      </c>
      <c r="AR3" s="8">
        <f t="shared" si="0"/>
        <v>71392169</v>
      </c>
      <c r="AS3" s="8">
        <f t="shared" si="0"/>
        <v>52626796</v>
      </c>
      <c r="AT3" s="8">
        <f t="shared" si="0"/>
        <v>0</v>
      </c>
      <c r="AU3" s="9">
        <f t="shared" si="0"/>
        <v>0.43466172847114198</v>
      </c>
      <c r="AV3" s="9">
        <f t="shared" si="0"/>
        <v>0.118928388904413</v>
      </c>
      <c r="AW3" s="9">
        <f t="shared" si="0"/>
        <v>0.71835458000546104</v>
      </c>
      <c r="AX3" s="9">
        <f t="shared" si="0"/>
        <v>0.44640988262444298</v>
      </c>
      <c r="AY3" s="9">
        <f t="shared" si="0"/>
        <v>0.27194469738101701</v>
      </c>
      <c r="AZ3" s="9">
        <f t="shared" si="0"/>
        <v>1.8855902776013043E-2</v>
      </c>
      <c r="BA3" s="9">
        <f t="shared" si="0"/>
        <v>3.1140581043129046E-2</v>
      </c>
    </row>
    <row r="4" spans="1:53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3" ht="52.8" x14ac:dyDescent="0.25">
      <c r="A5" s="11" t="s">
        <v>53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2" t="s">
        <v>39</v>
      </c>
      <c r="AN5" s="12" t="s">
        <v>40</v>
      </c>
      <c r="AO5" s="12" t="s">
        <v>41</v>
      </c>
      <c r="AP5" s="12" t="s">
        <v>42</v>
      </c>
      <c r="AQ5" s="12" t="s">
        <v>43</v>
      </c>
      <c r="AR5" s="12" t="s">
        <v>85</v>
      </c>
      <c r="AS5" s="13" t="s">
        <v>44</v>
      </c>
      <c r="AT5" s="13" t="s">
        <v>45</v>
      </c>
      <c r="AU5" s="13" t="s">
        <v>46</v>
      </c>
      <c r="AV5" s="13" t="s">
        <v>47</v>
      </c>
      <c r="AW5" s="13" t="s">
        <v>48</v>
      </c>
      <c r="AX5" s="13" t="s">
        <v>49</v>
      </c>
      <c r="AY5" s="13" t="s">
        <v>50</v>
      </c>
      <c r="AZ5" s="13" t="s">
        <v>51</v>
      </c>
      <c r="BA5" s="13" t="s">
        <v>86</v>
      </c>
    </row>
    <row r="6" spans="1:53" ht="15.6" x14ac:dyDescent="0.3">
      <c r="A6" s="14" t="s">
        <v>54</v>
      </c>
      <c r="B6" s="16"/>
      <c r="C6" s="16">
        <v>99295136</v>
      </c>
      <c r="D6" s="16">
        <v>13662759</v>
      </c>
      <c r="E6" s="16">
        <v>172798</v>
      </c>
      <c r="F6" s="16">
        <v>2707333</v>
      </c>
      <c r="G6" s="16">
        <v>0</v>
      </c>
      <c r="H6" s="16">
        <v>9582614</v>
      </c>
      <c r="I6" s="16">
        <v>0</v>
      </c>
      <c r="J6" s="16">
        <v>168594</v>
      </c>
      <c r="K6" s="16">
        <v>1395001</v>
      </c>
      <c r="L6" s="16"/>
      <c r="M6" s="16">
        <v>9256669</v>
      </c>
      <c r="N6" s="16">
        <v>355891</v>
      </c>
      <c r="O6" s="16">
        <v>2303996</v>
      </c>
      <c r="P6" s="16">
        <v>940656</v>
      </c>
      <c r="Q6" s="16">
        <v>8020995</v>
      </c>
      <c r="R6" s="16">
        <v>0</v>
      </c>
      <c r="S6" s="16">
        <v>95170</v>
      </c>
      <c r="T6" s="16"/>
      <c r="U6" s="16"/>
      <c r="V6" s="16"/>
      <c r="W6" s="16"/>
      <c r="X6" s="16"/>
      <c r="Y6" s="16">
        <v>147957612</v>
      </c>
      <c r="Z6" s="16">
        <v>31948126.439999901</v>
      </c>
      <c r="AA6" s="16">
        <v>116009485.56</v>
      </c>
      <c r="AB6" s="16">
        <v>19225991.440000001</v>
      </c>
      <c r="AC6" s="16">
        <v>23004062.050000001</v>
      </c>
      <c r="AD6" s="16">
        <v>12722135</v>
      </c>
      <c r="AE6" s="15">
        <v>31948126.440000001</v>
      </c>
      <c r="AF6" s="15">
        <v>22604244.739999998</v>
      </c>
      <c r="AG6" s="15">
        <v>3365982</v>
      </c>
      <c r="AH6" s="15">
        <v>3495098.03</v>
      </c>
      <c r="AI6" s="15">
        <v>-22376428.09</v>
      </c>
      <c r="AJ6" s="15">
        <v>5593932.4199999804</v>
      </c>
      <c r="AK6" s="15">
        <v>47813440</v>
      </c>
      <c r="AL6" s="15">
        <v>0</v>
      </c>
      <c r="AM6" s="15">
        <v>51408714</v>
      </c>
      <c r="AN6" s="15">
        <v>70964438</v>
      </c>
      <c r="AO6" s="15">
        <v>17252135.739999998</v>
      </c>
      <c r="AP6" s="15">
        <v>62405941.170000002</v>
      </c>
      <c r="AQ6" s="15">
        <v>250280118.91</v>
      </c>
      <c r="AR6" s="15">
        <v>148975554</v>
      </c>
      <c r="AS6" s="16">
        <v>130124664</v>
      </c>
      <c r="AT6" s="16">
        <v>0</v>
      </c>
      <c r="AU6" s="17">
        <v>0.49989393048559599</v>
      </c>
      <c r="AV6" s="17">
        <v>0.21875545849114</v>
      </c>
      <c r="AW6" s="17">
        <v>0.79008652003417601</v>
      </c>
      <c r="AX6" s="17">
        <v>0.28135061102326198</v>
      </c>
      <c r="AY6" s="17">
        <v>0.50873590901091303</v>
      </c>
      <c r="AZ6" s="17">
        <f>Y6/$Y$31</f>
        <v>6.3378433629444966E-2</v>
      </c>
      <c r="BA6" s="17">
        <f>AF6/$AF$31</f>
        <v>4.3016852204490905E-2</v>
      </c>
    </row>
    <row r="7" spans="1:53" ht="15.6" x14ac:dyDescent="0.3">
      <c r="A7" s="14" t="s">
        <v>56</v>
      </c>
      <c r="B7" s="16">
        <v>31972</v>
      </c>
      <c r="C7" s="16">
        <v>94106</v>
      </c>
      <c r="D7" s="16">
        <v>1555185</v>
      </c>
      <c r="E7" s="16">
        <v>3751268</v>
      </c>
      <c r="F7" s="16">
        <v>1991</v>
      </c>
      <c r="G7" s="16"/>
      <c r="H7" s="16">
        <v>5480</v>
      </c>
      <c r="I7" s="16">
        <v>7145</v>
      </c>
      <c r="J7" s="16"/>
      <c r="K7" s="16">
        <v>4997</v>
      </c>
      <c r="L7" s="16">
        <v>5239</v>
      </c>
      <c r="M7" s="16">
        <v>10622</v>
      </c>
      <c r="N7" s="16">
        <v>1674</v>
      </c>
      <c r="O7" s="16">
        <v>3119</v>
      </c>
      <c r="P7" s="16">
        <v>45142</v>
      </c>
      <c r="Q7" s="16"/>
      <c r="R7" s="16"/>
      <c r="S7" s="16"/>
      <c r="T7" s="16"/>
      <c r="U7" s="16"/>
      <c r="V7" s="16"/>
      <c r="W7" s="16"/>
      <c r="X7" s="16"/>
      <c r="Y7" s="16">
        <v>5517940</v>
      </c>
      <c r="Z7" s="16">
        <v>4647844</v>
      </c>
      <c r="AA7" s="16">
        <v>870096</v>
      </c>
      <c r="AB7" s="16">
        <v>2045336</v>
      </c>
      <c r="AC7" s="16">
        <v>2700010</v>
      </c>
      <c r="AD7" s="16">
        <v>2602508</v>
      </c>
      <c r="AE7" s="15">
        <v>4647844</v>
      </c>
      <c r="AF7" s="15">
        <v>-8794</v>
      </c>
      <c r="AG7" s="15">
        <v>2226984</v>
      </c>
      <c r="AH7" s="15">
        <v>-25000</v>
      </c>
      <c r="AI7" s="15">
        <v>-2678051</v>
      </c>
      <c r="AJ7" s="15">
        <v>-484861</v>
      </c>
      <c r="AK7" s="15">
        <v>1657057</v>
      </c>
      <c r="AL7" s="15">
        <v>0</v>
      </c>
      <c r="AM7" s="15">
        <v>609627</v>
      </c>
      <c r="AN7" s="15">
        <v>22653305</v>
      </c>
      <c r="AO7" s="15">
        <v>32780834</v>
      </c>
      <c r="AP7" s="15">
        <v>9039729</v>
      </c>
      <c r="AQ7" s="15">
        <v>66740552</v>
      </c>
      <c r="AR7" s="15">
        <v>11286173</v>
      </c>
      <c r="AS7" s="16">
        <v>8514624</v>
      </c>
      <c r="AT7" s="16">
        <v>0</v>
      </c>
      <c r="AU7" s="17">
        <v>-1.89564673801748E-3</v>
      </c>
      <c r="AV7" s="17">
        <v>0.44089544195470998</v>
      </c>
      <c r="AW7" s="17">
        <v>1.1430180748213501</v>
      </c>
      <c r="AX7" s="17">
        <v>0.56100020478330603</v>
      </c>
      <c r="AY7" s="17">
        <v>0.58201787003804595</v>
      </c>
      <c r="AZ7" s="17">
        <f t="shared" ref="AZ7:AZ30" si="1">Y7/$Y$31</f>
        <v>2.3636390810447766E-3</v>
      </c>
      <c r="BA7" s="17">
        <f t="shared" ref="BA7:BA30" si="2">AF7/$AF$31</f>
        <v>-1.6735361107503784E-5</v>
      </c>
    </row>
    <row r="8" spans="1:53" ht="15.6" x14ac:dyDescent="0.3">
      <c r="A8" s="14" t="s">
        <v>57</v>
      </c>
      <c r="B8" s="16">
        <v>133341</v>
      </c>
      <c r="C8" s="16">
        <v>48197</v>
      </c>
      <c r="D8" s="16">
        <v>2742222</v>
      </c>
      <c r="E8" s="16">
        <v>1652837</v>
      </c>
      <c r="F8" s="16">
        <v>7962</v>
      </c>
      <c r="G8" s="16">
        <v>0</v>
      </c>
      <c r="H8" s="16">
        <v>279494</v>
      </c>
      <c r="I8" s="16">
        <v>2821</v>
      </c>
      <c r="J8" s="16">
        <v>3658</v>
      </c>
      <c r="K8" s="16">
        <v>39833</v>
      </c>
      <c r="L8" s="16">
        <v>11950</v>
      </c>
      <c r="M8" s="16">
        <v>180428</v>
      </c>
      <c r="N8" s="16">
        <v>14894</v>
      </c>
      <c r="O8" s="16">
        <v>84589</v>
      </c>
      <c r="P8" s="16">
        <v>5407</v>
      </c>
      <c r="Q8" s="16"/>
      <c r="R8" s="16"/>
      <c r="S8" s="16"/>
      <c r="T8" s="16"/>
      <c r="U8" s="16"/>
      <c r="V8" s="16"/>
      <c r="W8" s="16"/>
      <c r="X8" s="16"/>
      <c r="Y8" s="16">
        <v>5207633</v>
      </c>
      <c r="Z8" s="16">
        <v>4069049</v>
      </c>
      <c r="AA8" s="16">
        <v>1138584</v>
      </c>
      <c r="AB8" s="16">
        <v>3138316</v>
      </c>
      <c r="AC8" s="16">
        <v>8083070</v>
      </c>
      <c r="AD8" s="16">
        <v>930733</v>
      </c>
      <c r="AE8" s="15">
        <v>4069049</v>
      </c>
      <c r="AF8" s="15">
        <v>1991532</v>
      </c>
      <c r="AG8" s="15">
        <v>1593003</v>
      </c>
      <c r="AH8" s="15">
        <v>414894</v>
      </c>
      <c r="AI8" s="15">
        <v>-14261073</v>
      </c>
      <c r="AJ8" s="15">
        <v>-10261644</v>
      </c>
      <c r="AK8" s="15">
        <v>530701</v>
      </c>
      <c r="AL8" s="15">
        <v>3809480</v>
      </c>
      <c r="AM8" s="15">
        <v>2220869</v>
      </c>
      <c r="AN8" s="15">
        <v>37881784</v>
      </c>
      <c r="AO8" s="15">
        <v>24531761</v>
      </c>
      <c r="AP8" s="15">
        <v>917639</v>
      </c>
      <c r="AQ8" s="15">
        <v>84436717</v>
      </c>
      <c r="AR8" s="15">
        <v>32394357</v>
      </c>
      <c r="AS8" s="16">
        <v>4975320</v>
      </c>
      <c r="AT8" s="16">
        <v>6523489</v>
      </c>
      <c r="AU8" s="17">
        <v>0.431860772839462</v>
      </c>
      <c r="AV8" s="17">
        <v>0.36631115074138298</v>
      </c>
      <c r="AW8" s="17">
        <v>1.95462986776143</v>
      </c>
      <c r="AX8" s="17">
        <v>0.20182807641915401</v>
      </c>
      <c r="AY8" s="17">
        <v>1.75280179134227</v>
      </c>
      <c r="AZ8" s="17">
        <f t="shared" si="1"/>
        <v>2.2307174196418323E-3</v>
      </c>
      <c r="BA8" s="17">
        <f t="shared" si="2"/>
        <v>3.7899712505286821E-3</v>
      </c>
    </row>
    <row r="9" spans="1:53" ht="15.6" x14ac:dyDescent="0.3">
      <c r="A9" s="14" t="s">
        <v>58</v>
      </c>
      <c r="B9" s="16">
        <v>477679</v>
      </c>
      <c r="C9" s="16">
        <v>11286949</v>
      </c>
      <c r="D9" s="16">
        <v>25027775</v>
      </c>
      <c r="E9" s="16">
        <v>2359327</v>
      </c>
      <c r="F9" s="16">
        <v>28784</v>
      </c>
      <c r="G9" s="16"/>
      <c r="H9" s="16">
        <v>371390</v>
      </c>
      <c r="I9" s="16">
        <v>147221</v>
      </c>
      <c r="J9" s="16">
        <v>82037</v>
      </c>
      <c r="K9" s="16">
        <v>615073</v>
      </c>
      <c r="L9" s="16">
        <v>164001</v>
      </c>
      <c r="M9" s="16">
        <v>7280273</v>
      </c>
      <c r="N9" s="16">
        <v>967140</v>
      </c>
      <c r="O9" s="16">
        <v>1832901</v>
      </c>
      <c r="P9" s="16"/>
      <c r="Q9" s="16">
        <v>775085</v>
      </c>
      <c r="R9" s="16">
        <v>82512</v>
      </c>
      <c r="S9" s="16"/>
      <c r="T9" s="16"/>
      <c r="U9" s="16"/>
      <c r="V9" s="16"/>
      <c r="W9" s="16"/>
      <c r="X9" s="16"/>
      <c r="Y9" s="16">
        <v>51498147</v>
      </c>
      <c r="Z9" s="16">
        <v>21024043</v>
      </c>
      <c r="AA9" s="16">
        <v>30474104</v>
      </c>
      <c r="AB9" s="16">
        <v>13469301</v>
      </c>
      <c r="AC9" s="16">
        <v>19552418</v>
      </c>
      <c r="AD9" s="16">
        <v>7554742</v>
      </c>
      <c r="AE9" s="15">
        <v>21024043</v>
      </c>
      <c r="AF9" s="15">
        <v>21993224</v>
      </c>
      <c r="AG9" s="15">
        <v>4183593</v>
      </c>
      <c r="AH9" s="15">
        <v>-682918</v>
      </c>
      <c r="AI9" s="15">
        <v>-36475319</v>
      </c>
      <c r="AJ9" s="15">
        <v>-11381898</v>
      </c>
      <c r="AK9" s="15">
        <v>20023393</v>
      </c>
      <c r="AL9" s="15">
        <v>0</v>
      </c>
      <c r="AM9" s="15">
        <v>24965441</v>
      </c>
      <c r="AN9" s="15">
        <v>73637479</v>
      </c>
      <c r="AO9" s="15">
        <v>1914315</v>
      </c>
      <c r="AP9" s="15">
        <v>17250715</v>
      </c>
      <c r="AQ9" s="15">
        <v>137791343</v>
      </c>
      <c r="AR9" s="15">
        <v>86198693</v>
      </c>
      <c r="AS9" s="16">
        <v>65152338</v>
      </c>
      <c r="AT9" s="16">
        <v>0</v>
      </c>
      <c r="AU9" s="17">
        <v>0.52798917922489697</v>
      </c>
      <c r="AV9" s="17">
        <v>0.27174327345203603</v>
      </c>
      <c r="AW9" s="17">
        <v>0.65075894100464604</v>
      </c>
      <c r="AX9" s="17">
        <v>0.18136595288784599</v>
      </c>
      <c r="AY9" s="17">
        <v>0.46939298811679903</v>
      </c>
      <c r="AZ9" s="17">
        <f t="shared" si="1"/>
        <v>2.2059506419168894E-2</v>
      </c>
      <c r="BA9" s="17">
        <f t="shared" si="2"/>
        <v>4.185405339529439E-2</v>
      </c>
    </row>
    <row r="10" spans="1:53" ht="15.6" x14ac:dyDescent="0.3">
      <c r="A10" s="14" t="s">
        <v>52</v>
      </c>
      <c r="B10" s="16">
        <v>604266</v>
      </c>
      <c r="C10" s="16">
        <v>4791852</v>
      </c>
      <c r="D10" s="16">
        <v>18299718</v>
      </c>
      <c r="E10" s="16">
        <v>14438239</v>
      </c>
      <c r="F10" s="16"/>
      <c r="G10" s="16"/>
      <c r="H10" s="16">
        <v>282210</v>
      </c>
      <c r="I10" s="16">
        <v>56197</v>
      </c>
      <c r="J10" s="16"/>
      <c r="K10" s="16">
        <v>1474318</v>
      </c>
      <c r="L10" s="16">
        <v>137306</v>
      </c>
      <c r="M10" s="16">
        <v>530778</v>
      </c>
      <c r="N10" s="16">
        <v>833845</v>
      </c>
      <c r="O10" s="16">
        <v>13127</v>
      </c>
      <c r="P10" s="16">
        <v>2347911</v>
      </c>
      <c r="Q10" s="16">
        <v>209534</v>
      </c>
      <c r="R10" s="16"/>
      <c r="S10" s="16"/>
      <c r="T10" s="16"/>
      <c r="U10" s="16"/>
      <c r="V10" s="16"/>
      <c r="W10" s="16"/>
      <c r="X10" s="16"/>
      <c r="Y10" s="16">
        <v>44019301</v>
      </c>
      <c r="Z10" s="16">
        <v>22436293</v>
      </c>
      <c r="AA10" s="16">
        <v>21583008</v>
      </c>
      <c r="AB10" s="16">
        <v>5630443</v>
      </c>
      <c r="AC10" s="16">
        <v>10237815</v>
      </c>
      <c r="AD10" s="16">
        <v>16805850</v>
      </c>
      <c r="AE10" s="15">
        <v>22436293</v>
      </c>
      <c r="AF10" s="15">
        <v>16363571</v>
      </c>
      <c r="AG10" s="15">
        <v>-9504067</v>
      </c>
      <c r="AH10" s="15">
        <v>0</v>
      </c>
      <c r="AI10" s="15">
        <v>-9491850</v>
      </c>
      <c r="AJ10" s="15">
        <v>-2632346</v>
      </c>
      <c r="AK10" s="15">
        <v>22367123</v>
      </c>
      <c r="AL10" s="15">
        <v>0</v>
      </c>
      <c r="AM10" s="15">
        <v>12258340</v>
      </c>
      <c r="AN10" s="15">
        <v>54853581</v>
      </c>
      <c r="AO10" s="15">
        <v>14350546</v>
      </c>
      <c r="AP10" s="15">
        <v>13465407</v>
      </c>
      <c r="AQ10" s="15">
        <v>123082399</v>
      </c>
      <c r="AR10" s="15">
        <v>71392169</v>
      </c>
      <c r="AS10" s="16">
        <v>52626796</v>
      </c>
      <c r="AT10" s="16">
        <v>0</v>
      </c>
      <c r="AU10" s="17">
        <v>0.43466172847114198</v>
      </c>
      <c r="AV10" s="17">
        <v>0.118928388904413</v>
      </c>
      <c r="AW10" s="17">
        <v>0.71835458000546104</v>
      </c>
      <c r="AX10" s="17">
        <v>0.44640988262444298</v>
      </c>
      <c r="AY10" s="17">
        <v>0.27194469738101701</v>
      </c>
      <c r="AZ10" s="17">
        <f t="shared" si="1"/>
        <v>1.8855902776013043E-2</v>
      </c>
      <c r="BA10" s="17">
        <f t="shared" si="2"/>
        <v>3.1140581043129046E-2</v>
      </c>
    </row>
    <row r="11" spans="1:53" ht="15.6" x14ac:dyDescent="0.3">
      <c r="A11" s="14" t="s">
        <v>59</v>
      </c>
      <c r="B11" s="16">
        <v>6901798</v>
      </c>
      <c r="C11" s="16">
        <v>123317623</v>
      </c>
      <c r="D11" s="16">
        <v>153061029</v>
      </c>
      <c r="E11" s="16">
        <v>12199919</v>
      </c>
      <c r="F11" s="16">
        <v>771752</v>
      </c>
      <c r="G11" s="16">
        <v>0</v>
      </c>
      <c r="H11" s="16">
        <v>9826797</v>
      </c>
      <c r="I11" s="16">
        <v>4393434</v>
      </c>
      <c r="J11" s="16">
        <v>1443836</v>
      </c>
      <c r="K11" s="16">
        <v>9463323</v>
      </c>
      <c r="L11" s="16">
        <v>6430533</v>
      </c>
      <c r="M11" s="16">
        <v>19572904</v>
      </c>
      <c r="N11" s="16">
        <v>9175041</v>
      </c>
      <c r="O11" s="16">
        <v>17208328</v>
      </c>
      <c r="P11" s="16">
        <v>12000786</v>
      </c>
      <c r="Q11" s="16">
        <v>20874983</v>
      </c>
      <c r="R11" s="16">
        <v>13933923</v>
      </c>
      <c r="S11" s="16">
        <v>923863</v>
      </c>
      <c r="T11" s="16"/>
      <c r="U11" s="16">
        <v>1595</v>
      </c>
      <c r="V11" s="16"/>
      <c r="W11" s="16"/>
      <c r="X11" s="16"/>
      <c r="Y11" s="16">
        <v>421501467</v>
      </c>
      <c r="Z11" s="16">
        <v>179116080</v>
      </c>
      <c r="AA11" s="16">
        <v>242385387</v>
      </c>
      <c r="AB11" s="16">
        <v>111504788</v>
      </c>
      <c r="AC11" s="16">
        <v>83856799</v>
      </c>
      <c r="AD11" s="16">
        <v>67611292</v>
      </c>
      <c r="AE11" s="15">
        <v>179116080</v>
      </c>
      <c r="AF11" s="15">
        <v>111208342</v>
      </c>
      <c r="AG11" s="15">
        <v>29953344</v>
      </c>
      <c r="AH11" s="15">
        <v>-9472220</v>
      </c>
      <c r="AI11" s="15">
        <v>-110627471</v>
      </c>
      <c r="AJ11" s="15">
        <v>14743397</v>
      </c>
      <c r="AK11" s="15">
        <v>139619689</v>
      </c>
      <c r="AL11" s="15">
        <v>0</v>
      </c>
      <c r="AM11" s="15">
        <v>192774493</v>
      </c>
      <c r="AN11" s="15">
        <v>354069853</v>
      </c>
      <c r="AO11" s="15">
        <v>147838203</v>
      </c>
      <c r="AP11" s="15">
        <v>18953853</v>
      </c>
      <c r="AQ11" s="15">
        <v>853256091</v>
      </c>
      <c r="AR11" s="15">
        <v>567221815</v>
      </c>
      <c r="AS11" s="16">
        <v>438104205</v>
      </c>
      <c r="AT11" s="16">
        <v>0</v>
      </c>
      <c r="AU11" s="17">
        <v>0.42868932581355501</v>
      </c>
      <c r="AV11" s="17">
        <v>0.31068059317270602</v>
      </c>
      <c r="AW11" s="17">
        <v>0.58388384041420405</v>
      </c>
      <c r="AX11" s="17">
        <v>0.26063008101373702</v>
      </c>
      <c r="AY11" s="17">
        <v>0.32325375940046702</v>
      </c>
      <c r="AZ11" s="17">
        <f t="shared" si="1"/>
        <v>0.18055240544821169</v>
      </c>
      <c r="BA11" s="17">
        <f t="shared" si="2"/>
        <v>0.21163426899440296</v>
      </c>
    </row>
    <row r="12" spans="1:53" ht="15.6" x14ac:dyDescent="0.3">
      <c r="A12" s="14" t="s">
        <v>60</v>
      </c>
      <c r="B12" s="16"/>
      <c r="C12" s="16">
        <v>186168926</v>
      </c>
      <c r="D12" s="16">
        <v>65273309</v>
      </c>
      <c r="E12" s="16"/>
      <c r="F12" s="16"/>
      <c r="G12" s="16"/>
      <c r="H12" s="16"/>
      <c r="I12" s="16"/>
      <c r="J12" s="16"/>
      <c r="K12" s="16"/>
      <c r="L12" s="16"/>
      <c r="M12" s="16">
        <v>33103126</v>
      </c>
      <c r="N12" s="16">
        <v>11664082</v>
      </c>
      <c r="O12" s="16"/>
      <c r="P12" s="16">
        <v>6810502</v>
      </c>
      <c r="Q12" s="16">
        <v>9347759</v>
      </c>
      <c r="R12" s="16"/>
      <c r="S12" s="16"/>
      <c r="T12" s="16"/>
      <c r="U12" s="16"/>
      <c r="V12" s="16"/>
      <c r="W12" s="16"/>
      <c r="X12" s="16"/>
      <c r="Y12" s="16">
        <v>312367704</v>
      </c>
      <c r="Z12" s="16">
        <v>63516893</v>
      </c>
      <c r="AA12" s="16">
        <v>248850811</v>
      </c>
      <c r="AB12" s="16">
        <v>42040413</v>
      </c>
      <c r="AC12" s="16">
        <v>4602120</v>
      </c>
      <c r="AD12" s="16">
        <v>21476480</v>
      </c>
      <c r="AE12" s="15">
        <v>63516893</v>
      </c>
      <c r="AF12" s="15">
        <v>37547098</v>
      </c>
      <c r="AG12" s="15">
        <v>-2391420</v>
      </c>
      <c r="AH12" s="15">
        <v>0</v>
      </c>
      <c r="AI12" s="15">
        <v>-4502120</v>
      </c>
      <c r="AJ12" s="15">
        <v>24548595</v>
      </c>
      <c r="AK12" s="15">
        <v>69074373</v>
      </c>
      <c r="AL12" s="15">
        <v>0</v>
      </c>
      <c r="AM12" s="15">
        <v>246862105</v>
      </c>
      <c r="AN12" s="15">
        <v>195647350</v>
      </c>
      <c r="AO12" s="15">
        <v>540616</v>
      </c>
      <c r="AP12" s="15">
        <v>50910121</v>
      </c>
      <c r="AQ12" s="15">
        <v>563763187</v>
      </c>
      <c r="AR12" s="15">
        <v>360121979</v>
      </c>
      <c r="AS12" s="16">
        <v>315143858</v>
      </c>
      <c r="AT12" s="16">
        <v>5826234</v>
      </c>
      <c r="AU12" s="17">
        <v>0.44284766095557399</v>
      </c>
      <c r="AV12" s="17">
        <v>0.30384890308889101</v>
      </c>
      <c r="AW12" s="17">
        <v>0.30758294585099499</v>
      </c>
      <c r="AX12" s="17">
        <v>0.25330343595553401</v>
      </c>
      <c r="AY12" s="17">
        <v>5.42795098954615E-2</v>
      </c>
      <c r="AZ12" s="17">
        <f t="shared" si="1"/>
        <v>0.13380437497157033</v>
      </c>
      <c r="BA12" s="17">
        <f t="shared" si="2"/>
        <v>7.1453746141554836E-2</v>
      </c>
    </row>
    <row r="13" spans="1:53" ht="15.6" x14ac:dyDescent="0.3">
      <c r="A13" s="14" t="s">
        <v>61</v>
      </c>
      <c r="B13" s="16">
        <v>860012</v>
      </c>
      <c r="C13" s="16">
        <v>76048273</v>
      </c>
      <c r="D13" s="16">
        <v>27104295</v>
      </c>
      <c r="E13" s="16">
        <v>6637929</v>
      </c>
      <c r="F13" s="16">
        <v>76210</v>
      </c>
      <c r="G13" s="16">
        <v>0</v>
      </c>
      <c r="H13" s="16">
        <v>13696806</v>
      </c>
      <c r="I13" s="16">
        <v>270560</v>
      </c>
      <c r="J13" s="16">
        <v>0</v>
      </c>
      <c r="K13" s="16">
        <v>1939161</v>
      </c>
      <c r="L13" s="16">
        <v>925832</v>
      </c>
      <c r="M13" s="16">
        <v>2706937</v>
      </c>
      <c r="N13" s="16">
        <v>17158746</v>
      </c>
      <c r="O13" s="16">
        <v>1946223</v>
      </c>
      <c r="P13" s="16">
        <v>18291544</v>
      </c>
      <c r="Q13" s="16">
        <v>52788267</v>
      </c>
      <c r="R13" s="16">
        <v>5770227</v>
      </c>
      <c r="S13" s="16">
        <v>0</v>
      </c>
      <c r="T13" s="16">
        <v>34240</v>
      </c>
      <c r="U13" s="16">
        <v>165992</v>
      </c>
      <c r="V13" s="16">
        <v>0</v>
      </c>
      <c r="W13" s="16">
        <v>0</v>
      </c>
      <c r="X13" s="16">
        <v>0</v>
      </c>
      <c r="Y13" s="16">
        <v>226421254</v>
      </c>
      <c r="Z13" s="16">
        <v>114686122</v>
      </c>
      <c r="AA13" s="16">
        <v>111735132</v>
      </c>
      <c r="AB13" s="16">
        <v>38674327</v>
      </c>
      <c r="AC13" s="16">
        <v>26520375</v>
      </c>
      <c r="AD13" s="16">
        <v>76011795</v>
      </c>
      <c r="AE13" s="15">
        <v>114686122</v>
      </c>
      <c r="AF13" s="15">
        <v>53628825</v>
      </c>
      <c r="AG13" s="15">
        <v>9639698</v>
      </c>
      <c r="AH13" s="15">
        <v>-9039386</v>
      </c>
      <c r="AI13" s="15">
        <v>-26491975</v>
      </c>
      <c r="AJ13" s="15">
        <v>23627538</v>
      </c>
      <c r="AK13" s="15">
        <v>28218613</v>
      </c>
      <c r="AL13" s="15">
        <v>0</v>
      </c>
      <c r="AM13" s="15">
        <v>203406661</v>
      </c>
      <c r="AN13" s="15">
        <v>270175866</v>
      </c>
      <c r="AO13" s="15">
        <v>29556874</v>
      </c>
      <c r="AP13" s="15">
        <v>31035148</v>
      </c>
      <c r="AQ13" s="15">
        <v>569094921</v>
      </c>
      <c r="AR13" s="15">
        <v>390534570</v>
      </c>
      <c r="AS13" s="16">
        <v>337558681</v>
      </c>
      <c r="AT13" s="16">
        <v>0</v>
      </c>
      <c r="AU13" s="17">
        <v>0.49031785700052299</v>
      </c>
      <c r="AV13" s="17">
        <v>-0.18244662743934201</v>
      </c>
      <c r="AW13" s="17">
        <v>0.937431574680469</v>
      </c>
      <c r="AX13" s="17">
        <v>0.69496097352800601</v>
      </c>
      <c r="AY13" s="17">
        <v>0.24247060115246299</v>
      </c>
      <c r="AZ13" s="17">
        <f t="shared" si="1"/>
        <v>9.6988753906995351E-2</v>
      </c>
      <c r="BA13" s="17">
        <f t="shared" si="2"/>
        <v>0.10205796590244788</v>
      </c>
    </row>
    <row r="14" spans="1:53" ht="15.6" x14ac:dyDescent="0.3">
      <c r="A14" s="14" t="s">
        <v>62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6"/>
      <c r="AT14" s="16"/>
      <c r="AU14" s="17"/>
      <c r="AV14" s="17"/>
      <c r="AW14" s="17"/>
      <c r="AX14" s="17"/>
      <c r="AY14" s="17"/>
      <c r="AZ14" s="17"/>
      <c r="BA14" s="17"/>
    </row>
    <row r="15" spans="1:53" ht="15.6" x14ac:dyDescent="0.3">
      <c r="A15" s="14" t="s">
        <v>63</v>
      </c>
      <c r="B15" s="16">
        <v>139729</v>
      </c>
      <c r="C15" s="16">
        <v>4912159</v>
      </c>
      <c r="D15" s="16">
        <v>18900010</v>
      </c>
      <c r="E15" s="16">
        <v>2151930</v>
      </c>
      <c r="F15" s="16">
        <v>6332</v>
      </c>
      <c r="G15" s="16"/>
      <c r="H15" s="16">
        <v>121355</v>
      </c>
      <c r="I15" s="16">
        <v>80685</v>
      </c>
      <c r="J15" s="16">
        <v>99072</v>
      </c>
      <c r="K15" s="16">
        <v>254422</v>
      </c>
      <c r="L15" s="16">
        <v>217752</v>
      </c>
      <c r="M15" s="16">
        <v>1432461</v>
      </c>
      <c r="N15" s="16">
        <v>1093755</v>
      </c>
      <c r="O15" s="16">
        <v>939281</v>
      </c>
      <c r="P15" s="16">
        <v>6453779</v>
      </c>
      <c r="Q15" s="16">
        <v>89466</v>
      </c>
      <c r="R15" s="16">
        <v>327</v>
      </c>
      <c r="S15" s="16">
        <v>142550</v>
      </c>
      <c r="T15" s="16"/>
      <c r="U15" s="16"/>
      <c r="V15" s="16"/>
      <c r="W15" s="16"/>
      <c r="X15" s="16"/>
      <c r="Y15" s="16">
        <v>37035065</v>
      </c>
      <c r="Z15" s="16">
        <v>22154783</v>
      </c>
      <c r="AA15" s="16">
        <v>14880282</v>
      </c>
      <c r="AB15" s="16">
        <v>13010688</v>
      </c>
      <c r="AC15" s="16">
        <v>9949841</v>
      </c>
      <c r="AD15" s="16">
        <v>9144095</v>
      </c>
      <c r="AE15" s="15">
        <v>22154783</v>
      </c>
      <c r="AF15" s="15">
        <v>10890144</v>
      </c>
      <c r="AG15" s="15">
        <v>6442471</v>
      </c>
      <c r="AH15" s="15">
        <v>422296</v>
      </c>
      <c r="AI15" s="15">
        <v>-9919705</v>
      </c>
      <c r="AJ15" s="15">
        <v>7835206</v>
      </c>
      <c r="AK15" s="15">
        <v>3161985</v>
      </c>
      <c r="AL15" s="15">
        <v>17685266</v>
      </c>
      <c r="AM15" s="15">
        <v>3371060</v>
      </c>
      <c r="AN15" s="15">
        <v>67536494</v>
      </c>
      <c r="AO15" s="15">
        <v>48542518</v>
      </c>
      <c r="AP15" s="15">
        <v>5892835</v>
      </c>
      <c r="AQ15" s="15">
        <v>146190158</v>
      </c>
      <c r="AR15" s="15">
        <v>73829965</v>
      </c>
      <c r="AS15" s="16">
        <v>4459601</v>
      </c>
      <c r="AT15" s="16">
        <v>60625147</v>
      </c>
      <c r="AU15" s="17">
        <v>0.40413676193133902</v>
      </c>
      <c r="AV15" s="17">
        <v>0.25652291859331</v>
      </c>
      <c r="AW15" s="17">
        <v>0.70858213330918596</v>
      </c>
      <c r="AX15" s="17">
        <v>0.33934031947534898</v>
      </c>
      <c r="AY15" s="17">
        <v>0.36924181383383697</v>
      </c>
      <c r="AZ15" s="17">
        <f t="shared" si="1"/>
        <v>1.5864167969030753E-2</v>
      </c>
      <c r="BA15" s="17">
        <f t="shared" si="2"/>
        <v>2.0724413503833944E-2</v>
      </c>
    </row>
    <row r="16" spans="1:53" ht="15.6" x14ac:dyDescent="0.3">
      <c r="A16" s="14" t="s">
        <v>64</v>
      </c>
      <c r="B16" s="16">
        <v>254616</v>
      </c>
      <c r="C16" s="16">
        <v>109121</v>
      </c>
      <c r="D16" s="16">
        <v>18548425</v>
      </c>
      <c r="E16" s="16">
        <v>7728511</v>
      </c>
      <c r="F16" s="16">
        <v>4637106</v>
      </c>
      <c r="G16" s="16"/>
      <c r="H16" s="16">
        <v>436485</v>
      </c>
      <c r="I16" s="16">
        <v>290989</v>
      </c>
      <c r="J16" s="16"/>
      <c r="K16" s="16">
        <v>654727</v>
      </c>
      <c r="L16" s="16">
        <v>272803</v>
      </c>
      <c r="M16" s="16">
        <v>163682</v>
      </c>
      <c r="N16" s="16">
        <v>1273084</v>
      </c>
      <c r="O16" s="16">
        <v>545606</v>
      </c>
      <c r="P16" s="16">
        <v>1454949</v>
      </c>
      <c r="Q16" s="16">
        <v>3637</v>
      </c>
      <c r="R16" s="16"/>
      <c r="S16" s="16"/>
      <c r="T16" s="16"/>
      <c r="U16" s="16"/>
      <c r="V16" s="16"/>
      <c r="W16" s="16"/>
      <c r="X16" s="16"/>
      <c r="Y16" s="16">
        <v>36373741</v>
      </c>
      <c r="Z16" s="16">
        <v>13566481</v>
      </c>
      <c r="AA16" s="16">
        <v>22807260</v>
      </c>
      <c r="AB16" s="16">
        <v>13566481</v>
      </c>
      <c r="AC16" s="16">
        <v>18308533</v>
      </c>
      <c r="AD16" s="16">
        <v>0</v>
      </c>
      <c r="AE16" s="15">
        <v>13566481</v>
      </c>
      <c r="AF16" s="15">
        <v>23308441</v>
      </c>
      <c r="AG16" s="15">
        <v>53788</v>
      </c>
      <c r="AH16" s="15">
        <v>0</v>
      </c>
      <c r="AI16" s="15">
        <v>-17821559</v>
      </c>
      <c r="AJ16" s="15">
        <v>4155502</v>
      </c>
      <c r="AK16" s="15">
        <v>4912319</v>
      </c>
      <c r="AL16" s="15">
        <v>0</v>
      </c>
      <c r="AM16" s="15">
        <v>0</v>
      </c>
      <c r="AN16" s="15">
        <v>74201324</v>
      </c>
      <c r="AO16" s="15">
        <v>9813684</v>
      </c>
      <c r="AP16" s="15">
        <v>53387559</v>
      </c>
      <c r="AQ16" s="15">
        <v>143431675</v>
      </c>
      <c r="AR16" s="15">
        <v>40826049</v>
      </c>
      <c r="AS16" s="16">
        <v>26767749</v>
      </c>
      <c r="AT16" s="16">
        <v>4967273</v>
      </c>
      <c r="AU16" s="17">
        <v>0.78215974622637996</v>
      </c>
      <c r="AV16" s="17">
        <v>0.21784025377361901</v>
      </c>
      <c r="AW16" s="17">
        <v>0.61437817849152998</v>
      </c>
      <c r="AX16" s="17">
        <v>0</v>
      </c>
      <c r="AY16" s="17">
        <v>0.61437817849152998</v>
      </c>
      <c r="AZ16" s="17">
        <f t="shared" si="1"/>
        <v>1.5580886300213615E-2</v>
      </c>
      <c r="BA16" s="17">
        <f t="shared" si="2"/>
        <v>4.4356968045024633E-2</v>
      </c>
    </row>
    <row r="17" spans="1:56" ht="15.6" x14ac:dyDescent="0.3">
      <c r="A17" s="14" t="s">
        <v>65</v>
      </c>
      <c r="B17" s="16">
        <v>3062370</v>
      </c>
      <c r="C17" s="16"/>
      <c r="D17" s="16">
        <v>23235119</v>
      </c>
      <c r="E17" s="16"/>
      <c r="F17" s="16"/>
      <c r="G17" s="16"/>
      <c r="H17" s="16">
        <v>591099</v>
      </c>
      <c r="I17" s="16"/>
      <c r="J17" s="16">
        <v>178821</v>
      </c>
      <c r="K17" s="16">
        <v>1227044</v>
      </c>
      <c r="L17" s="16"/>
      <c r="M17" s="16"/>
      <c r="N17" s="16">
        <v>800792</v>
      </c>
      <c r="O17" s="16"/>
      <c r="P17" s="16">
        <v>2428548</v>
      </c>
      <c r="Q17" s="16">
        <v>223741</v>
      </c>
      <c r="R17" s="16"/>
      <c r="S17" s="16"/>
      <c r="T17" s="16"/>
      <c r="U17" s="16"/>
      <c r="V17" s="16"/>
      <c r="W17" s="16"/>
      <c r="X17" s="16"/>
      <c r="Y17" s="16">
        <v>31747534</v>
      </c>
      <c r="Z17" s="16">
        <v>24313389</v>
      </c>
      <c r="AA17" s="16">
        <v>7434145</v>
      </c>
      <c r="AB17" s="16">
        <v>17358567</v>
      </c>
      <c r="AC17" s="16">
        <v>8166097</v>
      </c>
      <c r="AD17" s="16">
        <v>6954822</v>
      </c>
      <c r="AE17" s="15">
        <v>24313389</v>
      </c>
      <c r="AF17" s="15">
        <v>672533</v>
      </c>
      <c r="AG17" s="15">
        <v>8671385</v>
      </c>
      <c r="AH17" s="15">
        <v>2670275</v>
      </c>
      <c r="AI17" s="15">
        <v>-7977963</v>
      </c>
      <c r="AJ17" s="15">
        <v>4036230</v>
      </c>
      <c r="AK17" s="15">
        <v>12482593</v>
      </c>
      <c r="AL17" s="15">
        <v>0</v>
      </c>
      <c r="AM17" s="15">
        <v>2127564</v>
      </c>
      <c r="AN17" s="15">
        <v>107576232</v>
      </c>
      <c r="AO17" s="15">
        <v>15763892</v>
      </c>
      <c r="AP17" s="15">
        <v>28821200</v>
      </c>
      <c r="AQ17" s="15">
        <v>166771481</v>
      </c>
      <c r="AR17" s="15">
        <v>72099623</v>
      </c>
      <c r="AS17" s="16">
        <v>26357731</v>
      </c>
      <c r="AT17" s="16">
        <v>22740065</v>
      </c>
      <c r="AU17" s="17">
        <v>2.9516511230909301E-2</v>
      </c>
      <c r="AV17" s="17">
        <v>0.66524630089581804</v>
      </c>
      <c r="AW17" s="17">
        <v>0.66363550262242899</v>
      </c>
      <c r="AX17" s="17">
        <v>0.30523718787327198</v>
      </c>
      <c r="AY17" s="17">
        <v>0.35839831474915701</v>
      </c>
      <c r="AZ17" s="17">
        <f t="shared" si="1"/>
        <v>1.3599225814198378E-2</v>
      </c>
      <c r="BA17" s="17">
        <f t="shared" si="2"/>
        <v>1.279859291757203E-3</v>
      </c>
    </row>
    <row r="18" spans="1:56" ht="15.6" x14ac:dyDescent="0.3">
      <c r="A18" s="14" t="s">
        <v>66</v>
      </c>
      <c r="B18" s="16">
        <v>232329</v>
      </c>
      <c r="C18" s="16">
        <v>814444</v>
      </c>
      <c r="D18" s="16">
        <v>6360463</v>
      </c>
      <c r="E18" s="16">
        <v>3108480</v>
      </c>
      <c r="F18" s="16">
        <v>44778</v>
      </c>
      <c r="G18" s="16">
        <v>8990</v>
      </c>
      <c r="H18" s="16">
        <v>69805</v>
      </c>
      <c r="I18" s="16">
        <v>68646</v>
      </c>
      <c r="J18" s="16">
        <v>154606</v>
      </c>
      <c r="K18" s="16">
        <v>231090</v>
      </c>
      <c r="L18" s="16">
        <v>43649</v>
      </c>
      <c r="M18" s="16">
        <v>3325702</v>
      </c>
      <c r="N18" s="16">
        <v>0</v>
      </c>
      <c r="O18" s="16">
        <v>240036</v>
      </c>
      <c r="P18" s="16">
        <v>66501</v>
      </c>
      <c r="Q18" s="16">
        <v>580294</v>
      </c>
      <c r="R18" s="16">
        <v>49466</v>
      </c>
      <c r="S18" s="16">
        <v>920065</v>
      </c>
      <c r="T18" s="16"/>
      <c r="U18" s="16"/>
      <c r="V18" s="16"/>
      <c r="W18" s="16"/>
      <c r="X18" s="16"/>
      <c r="Y18" s="16">
        <v>16319344</v>
      </c>
      <c r="Z18" s="16">
        <v>-1162708</v>
      </c>
      <c r="AA18" s="16">
        <v>17482052</v>
      </c>
      <c r="AB18" s="16">
        <v>-4746865</v>
      </c>
      <c r="AC18" s="16">
        <v>8972559</v>
      </c>
      <c r="AD18" s="16">
        <v>3584157</v>
      </c>
      <c r="AE18" s="15">
        <v>-1162708</v>
      </c>
      <c r="AF18" s="15">
        <v>16458263</v>
      </c>
      <c r="AG18" s="15">
        <v>3571224</v>
      </c>
      <c r="AH18" s="15">
        <v>0</v>
      </c>
      <c r="AI18" s="15">
        <v>-8971559</v>
      </c>
      <c r="AJ18" s="15">
        <v>9972857</v>
      </c>
      <c r="AK18" s="15">
        <v>11256112</v>
      </c>
      <c r="AL18" s="15">
        <v>0</v>
      </c>
      <c r="AM18" s="15">
        <v>16711849</v>
      </c>
      <c r="AN18" s="15">
        <v>93955260</v>
      </c>
      <c r="AO18" s="15">
        <v>15480082</v>
      </c>
      <c r="AP18" s="15">
        <v>10666018</v>
      </c>
      <c r="AQ18" s="15">
        <v>148069321</v>
      </c>
      <c r="AR18" s="15">
        <v>55966196</v>
      </c>
      <c r="AS18" s="16">
        <v>44684250</v>
      </c>
      <c r="AT18" s="16">
        <v>0</v>
      </c>
      <c r="AU18" s="17">
        <v>2.0863030901967501</v>
      </c>
      <c r="AV18" s="17">
        <v>-1.54064251987109</v>
      </c>
      <c r="AW18" s="17">
        <v>1.59173026907657</v>
      </c>
      <c r="AX18" s="17">
        <v>0.45433942967434099</v>
      </c>
      <c r="AY18" s="17">
        <v>1.1373908394022301</v>
      </c>
      <c r="AZ18" s="17">
        <f t="shared" si="1"/>
        <v>6.9904781957421764E-3</v>
      </c>
      <c r="BA18" s="17">
        <f t="shared" si="2"/>
        <v>3.1320784001281396E-2</v>
      </c>
      <c r="BD18" t="s">
        <v>82</v>
      </c>
    </row>
    <row r="19" spans="1:56" ht="15.6" x14ac:dyDescent="0.3">
      <c r="A19" s="14" t="s">
        <v>67</v>
      </c>
      <c r="B19" s="16">
        <v>0</v>
      </c>
      <c r="C19" s="16">
        <v>11323966</v>
      </c>
      <c r="D19" s="16">
        <v>46717931</v>
      </c>
      <c r="E19" s="16"/>
      <c r="F19" s="16"/>
      <c r="G19" s="16"/>
      <c r="H19" s="16"/>
      <c r="I19" s="16"/>
      <c r="J19" s="16">
        <v>166358</v>
      </c>
      <c r="K19" s="16">
        <v>4594842</v>
      </c>
      <c r="L19" s="16"/>
      <c r="M19" s="16">
        <v>2087786</v>
      </c>
      <c r="N19" s="16">
        <v>22361381</v>
      </c>
      <c r="O19" s="16"/>
      <c r="P19" s="16">
        <v>36813597</v>
      </c>
      <c r="Q19" s="16">
        <v>401151</v>
      </c>
      <c r="R19" s="16"/>
      <c r="S19" s="16"/>
      <c r="T19" s="16"/>
      <c r="U19" s="16"/>
      <c r="V19" s="16"/>
      <c r="W19" s="16"/>
      <c r="X19" s="16"/>
      <c r="Y19" s="16">
        <v>124467012</v>
      </c>
      <c r="Z19" s="16">
        <v>70246757</v>
      </c>
      <c r="AA19" s="16">
        <v>54220255</v>
      </c>
      <c r="AB19" s="16">
        <v>41727503</v>
      </c>
      <c r="AC19" s="16">
        <v>9854078</v>
      </c>
      <c r="AD19" s="16">
        <v>28519254</v>
      </c>
      <c r="AE19" s="15">
        <v>70246757</v>
      </c>
      <c r="AF19" s="15">
        <v>15448652</v>
      </c>
      <c r="AG19" s="15">
        <v>9378934</v>
      </c>
      <c r="AH19" s="15">
        <v>0</v>
      </c>
      <c r="AI19" s="15">
        <v>-9570465</v>
      </c>
      <c r="AJ19" s="15">
        <v>10623298</v>
      </c>
      <c r="AK19" s="15">
        <v>19377794</v>
      </c>
      <c r="AL19" s="15">
        <v>0</v>
      </c>
      <c r="AM19" s="15">
        <v>16547198</v>
      </c>
      <c r="AN19" s="15">
        <v>180255291</v>
      </c>
      <c r="AO19" s="15">
        <v>16810276</v>
      </c>
      <c r="AP19" s="15">
        <v>5612304</v>
      </c>
      <c r="AQ19" s="15">
        <v>238602863</v>
      </c>
      <c r="AR19" s="15">
        <v>162004522</v>
      </c>
      <c r="AS19" s="16">
        <v>87977484</v>
      </c>
      <c r="AT19" s="16">
        <v>0</v>
      </c>
      <c r="AU19" s="17">
        <v>0.19245998566602299</v>
      </c>
      <c r="AV19" s="17">
        <v>0.135024952153947</v>
      </c>
      <c r="AW19" s="17">
        <v>0.478056656767048</v>
      </c>
      <c r="AX19" s="17">
        <v>0.35529411990416299</v>
      </c>
      <c r="AY19" s="17">
        <v>0.12276253686288401</v>
      </c>
      <c r="AZ19" s="17">
        <f t="shared" si="1"/>
        <v>5.3316109610483109E-2</v>
      </c>
      <c r="BA19" s="17">
        <f t="shared" si="2"/>
        <v>2.9399450744161993E-2</v>
      </c>
    </row>
    <row r="20" spans="1:56" ht="15.6" x14ac:dyDescent="0.3">
      <c r="A20" s="14" t="s">
        <v>68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6"/>
      <c r="AU20" s="17"/>
      <c r="AV20" s="17"/>
      <c r="AW20" s="17"/>
      <c r="AX20" s="17"/>
      <c r="AY20" s="17"/>
      <c r="AZ20" s="17"/>
      <c r="BA20" s="17"/>
    </row>
    <row r="21" spans="1:56" ht="15.6" x14ac:dyDescent="0.3">
      <c r="A21" s="14" t="s">
        <v>69</v>
      </c>
      <c r="B21" s="16">
        <v>13469</v>
      </c>
      <c r="C21" s="16">
        <v>1333457</v>
      </c>
      <c r="D21" s="16">
        <v>15884897</v>
      </c>
      <c r="E21" s="16">
        <v>20538049</v>
      </c>
      <c r="F21" s="16">
        <v>43760</v>
      </c>
      <c r="G21" s="16">
        <v>0</v>
      </c>
      <c r="H21" s="16">
        <v>3737549</v>
      </c>
      <c r="I21" s="16">
        <v>16985</v>
      </c>
      <c r="J21" s="16">
        <v>0</v>
      </c>
      <c r="K21" s="16">
        <v>289557</v>
      </c>
      <c r="L21" s="16">
        <v>5673</v>
      </c>
      <c r="M21" s="16">
        <v>1824442</v>
      </c>
      <c r="N21" s="16">
        <v>1326917</v>
      </c>
      <c r="O21" s="16">
        <v>408749</v>
      </c>
      <c r="P21" s="16">
        <v>4288290</v>
      </c>
      <c r="Q21" s="16">
        <v>8332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49720126</v>
      </c>
      <c r="Z21" s="16">
        <v>26623377</v>
      </c>
      <c r="AA21" s="16">
        <v>23096749</v>
      </c>
      <c r="AB21" s="16">
        <v>5969154</v>
      </c>
      <c r="AC21" s="16">
        <v>9941768</v>
      </c>
      <c r="AD21" s="16">
        <v>20654223</v>
      </c>
      <c r="AE21" s="15">
        <v>26623377</v>
      </c>
      <c r="AF21" s="15">
        <v>18713003</v>
      </c>
      <c r="AG21" s="15">
        <v>4566177</v>
      </c>
      <c r="AH21" s="15">
        <v>-147800</v>
      </c>
      <c r="AI21" s="15">
        <v>-9760876</v>
      </c>
      <c r="AJ21" s="15">
        <v>9359352</v>
      </c>
      <c r="AK21" s="15">
        <v>11222147</v>
      </c>
      <c r="AL21" s="15">
        <v>12061311</v>
      </c>
      <c r="AM21" s="15">
        <v>7638653</v>
      </c>
      <c r="AN21" s="15">
        <v>80970824</v>
      </c>
      <c r="AO21" s="15">
        <v>8705967</v>
      </c>
      <c r="AP21" s="15">
        <v>28774853</v>
      </c>
      <c r="AQ21" s="15">
        <v>149373755</v>
      </c>
      <c r="AR21" s="15">
        <v>66952444</v>
      </c>
      <c r="AS21" s="16">
        <v>35241534</v>
      </c>
      <c r="AT21" s="16">
        <v>10108314</v>
      </c>
      <c r="AU21" s="17">
        <v>0.45215525046323302</v>
      </c>
      <c r="AV21" s="17">
        <v>4.8784530624361701E-2</v>
      </c>
      <c r="AW21" s="17">
        <v>0.73927941836891897</v>
      </c>
      <c r="AX21" s="17">
        <v>0.49906021891240399</v>
      </c>
      <c r="AY21" s="17">
        <v>0.24021919945651399</v>
      </c>
      <c r="AZ21" s="17">
        <f t="shared" si="1"/>
        <v>2.1297881623952145E-2</v>
      </c>
      <c r="BA21" s="17">
        <f t="shared" si="2"/>
        <v>3.5611651422651998E-2</v>
      </c>
    </row>
    <row r="22" spans="1:56" ht="15.6" x14ac:dyDescent="0.3">
      <c r="A22" s="14" t="s">
        <v>70</v>
      </c>
      <c r="B22" s="16"/>
      <c r="C22" s="16">
        <v>11709432</v>
      </c>
      <c r="D22" s="16">
        <v>46289599</v>
      </c>
      <c r="E22" s="16"/>
      <c r="F22" s="16"/>
      <c r="G22" s="16"/>
      <c r="H22" s="16"/>
      <c r="I22" s="16"/>
      <c r="J22" s="16"/>
      <c r="K22" s="16">
        <v>-1190736</v>
      </c>
      <c r="L22" s="16">
        <v>-56842</v>
      </c>
      <c r="M22" s="16"/>
      <c r="N22" s="16">
        <v>2773820</v>
      </c>
      <c r="O22" s="16"/>
      <c r="P22" s="16">
        <v>4398955</v>
      </c>
      <c r="Q22" s="16"/>
      <c r="R22" s="16">
        <v>2226211</v>
      </c>
      <c r="S22" s="16"/>
      <c r="T22" s="16"/>
      <c r="U22" s="16"/>
      <c r="V22" s="16"/>
      <c r="W22" s="16"/>
      <c r="X22" s="16"/>
      <c r="Y22" s="16">
        <v>66150439</v>
      </c>
      <c r="Z22" s="16">
        <v>47366462</v>
      </c>
      <c r="AA22" s="16">
        <v>18783977</v>
      </c>
      <c r="AB22" s="16">
        <v>35813234</v>
      </c>
      <c r="AC22" s="16">
        <v>26175619</v>
      </c>
      <c r="AD22" s="16">
        <v>11553228</v>
      </c>
      <c r="AE22" s="15">
        <v>47366462</v>
      </c>
      <c r="AF22" s="15">
        <v>25976907</v>
      </c>
      <c r="AG22" s="15">
        <v>5841522</v>
      </c>
      <c r="AH22" s="15">
        <v>180427</v>
      </c>
      <c r="AI22" s="15">
        <v>-26175619</v>
      </c>
      <c r="AJ22" s="15">
        <v>2794005</v>
      </c>
      <c r="AK22" s="15">
        <v>13223698</v>
      </c>
      <c r="AL22" s="15">
        <v>0</v>
      </c>
      <c r="AM22" s="15">
        <v>45395773</v>
      </c>
      <c r="AN22" s="15">
        <v>80683678</v>
      </c>
      <c r="AO22" s="15">
        <v>6891944</v>
      </c>
      <c r="AP22" s="15">
        <v>30585512</v>
      </c>
      <c r="AQ22" s="15">
        <v>177640106</v>
      </c>
      <c r="AR22" s="15">
        <v>103879094</v>
      </c>
      <c r="AS22" s="16">
        <v>79346775</v>
      </c>
      <c r="AT22" s="16">
        <v>0</v>
      </c>
      <c r="AU22" s="17">
        <v>0.39269440071289602</v>
      </c>
      <c r="AV22" s="17">
        <v>0.43265478555629799</v>
      </c>
      <c r="AW22" s="17">
        <v>0.57034915520364105</v>
      </c>
      <c r="AX22" s="17">
        <v>0.17465081373080499</v>
      </c>
      <c r="AY22" s="17">
        <v>0.395698341472835</v>
      </c>
      <c r="AZ22" s="17">
        <f t="shared" si="1"/>
        <v>2.8335893983745482E-2</v>
      </c>
      <c r="BA22" s="17">
        <f t="shared" si="2"/>
        <v>4.9435173880036709E-2</v>
      </c>
    </row>
    <row r="23" spans="1:56" ht="15.6" x14ac:dyDescent="0.3">
      <c r="A23" s="14" t="s">
        <v>71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6"/>
      <c r="AU23" s="17"/>
      <c r="AV23" s="17"/>
      <c r="AW23" s="17"/>
      <c r="AX23" s="17"/>
      <c r="AY23" s="17"/>
      <c r="AZ23" s="17"/>
      <c r="BA23" s="17">
        <f t="shared" si="2"/>
        <v>0</v>
      </c>
    </row>
    <row r="24" spans="1:56" ht="15.6" x14ac:dyDescent="0.3">
      <c r="A24" s="14" t="s">
        <v>83</v>
      </c>
      <c r="B24" s="16"/>
      <c r="C24" s="16">
        <v>32512450</v>
      </c>
      <c r="D24" s="16">
        <v>43771705</v>
      </c>
      <c r="E24" s="16"/>
      <c r="F24" s="16"/>
      <c r="G24" s="16"/>
      <c r="H24" s="16">
        <v>17346361</v>
      </c>
      <c r="I24" s="16"/>
      <c r="J24" s="16">
        <v>126155</v>
      </c>
      <c r="K24" s="16">
        <v>1099961</v>
      </c>
      <c r="L24" s="16"/>
      <c r="M24" s="16">
        <v>6658510</v>
      </c>
      <c r="N24" s="16"/>
      <c r="O24" s="16">
        <v>1466902</v>
      </c>
      <c r="P24" s="16">
        <v>2194057</v>
      </c>
      <c r="Q24" s="16">
        <v>17180581</v>
      </c>
      <c r="R24" s="16"/>
      <c r="S24" s="16"/>
      <c r="T24" s="16"/>
      <c r="U24" s="16"/>
      <c r="V24" s="16"/>
      <c r="W24" s="16"/>
      <c r="X24" s="16"/>
      <c r="Y24" s="16">
        <v>122356682</v>
      </c>
      <c r="Z24" s="16">
        <v>42490828</v>
      </c>
      <c r="AA24" s="16">
        <v>79865854</v>
      </c>
      <c r="AB24" s="16">
        <v>29072549</v>
      </c>
      <c r="AC24" s="16">
        <v>27573361</v>
      </c>
      <c r="AD24" s="16">
        <v>13418279</v>
      </c>
      <c r="AE24" s="15">
        <v>42490828</v>
      </c>
      <c r="AF24" s="15">
        <v>29748529</v>
      </c>
      <c r="AG24" s="15">
        <v>11316423</v>
      </c>
      <c r="AH24" s="15">
        <v>0</v>
      </c>
      <c r="AI24" s="15">
        <v>-27573361</v>
      </c>
      <c r="AJ24" s="15">
        <v>9444114</v>
      </c>
      <c r="AK24" s="15">
        <v>98096842</v>
      </c>
      <c r="AL24" s="15">
        <v>8394137</v>
      </c>
      <c r="AM24" s="15">
        <v>60501496</v>
      </c>
      <c r="AN24" s="15">
        <v>228947642</v>
      </c>
      <c r="AO24" s="15">
        <v>100147444</v>
      </c>
      <c r="AP24" s="15">
        <v>5649353</v>
      </c>
      <c r="AQ24" s="15">
        <v>511795344</v>
      </c>
      <c r="AR24" s="15">
        <v>309550825</v>
      </c>
      <c r="AS24" s="16">
        <v>118104787</v>
      </c>
      <c r="AT24" s="16">
        <v>5097823</v>
      </c>
      <c r="AU24" s="17">
        <v>0.52754007991093399</v>
      </c>
      <c r="AV24" s="17">
        <v>0.23450933181200301</v>
      </c>
      <c r="AW24" s="17">
        <v>0.72691772562200496</v>
      </c>
      <c r="AX24" s="17">
        <v>0.237950588277061</v>
      </c>
      <c r="AY24" s="17">
        <v>0.48896713734494401</v>
      </c>
      <c r="AZ24" s="17">
        <f t="shared" si="1"/>
        <v>5.2412138479607961E-2</v>
      </c>
      <c r="BA24" s="17">
        <f t="shared" si="2"/>
        <v>5.6612733139873604E-2</v>
      </c>
    </row>
    <row r="25" spans="1:56" ht="15.6" x14ac:dyDescent="0.3">
      <c r="A25" s="14" t="s">
        <v>73</v>
      </c>
      <c r="B25" s="16">
        <v>11312944</v>
      </c>
      <c r="C25" s="16">
        <v>13866267</v>
      </c>
      <c r="D25" s="16">
        <v>5756505</v>
      </c>
      <c r="E25" s="16">
        <v>5182775</v>
      </c>
      <c r="F25" s="16">
        <v>1049819</v>
      </c>
      <c r="G25" s="16">
        <v>970370</v>
      </c>
      <c r="H25" s="16">
        <v>20300</v>
      </c>
      <c r="I25" s="16">
        <v>85668</v>
      </c>
      <c r="J25" s="16">
        <v>0</v>
      </c>
      <c r="K25" s="16">
        <v>5025</v>
      </c>
      <c r="L25" s="16">
        <v>66758</v>
      </c>
      <c r="M25" s="16">
        <v>1836872</v>
      </c>
      <c r="N25" s="16">
        <v>9023584</v>
      </c>
      <c r="O25" s="16">
        <v>0</v>
      </c>
      <c r="P25" s="16">
        <v>324271</v>
      </c>
      <c r="Q25" s="16">
        <v>21118</v>
      </c>
      <c r="R25" s="16">
        <v>3312392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52834668</v>
      </c>
      <c r="Z25" s="16">
        <v>5936474</v>
      </c>
      <c r="AA25" s="16">
        <v>46898194</v>
      </c>
      <c r="AB25" s="16">
        <v>3423677</v>
      </c>
      <c r="AC25" s="16">
        <v>37954845</v>
      </c>
      <c r="AD25" s="16">
        <v>2512797</v>
      </c>
      <c r="AE25" s="15">
        <v>5936474</v>
      </c>
      <c r="AF25" s="15">
        <v>35363266</v>
      </c>
      <c r="AG25" s="15">
        <v>2969154</v>
      </c>
      <c r="AH25" s="15">
        <v>0</v>
      </c>
      <c r="AI25" s="15">
        <v>-37954845</v>
      </c>
      <c r="AJ25" s="15">
        <v>264302</v>
      </c>
      <c r="AK25" s="15">
        <v>921057</v>
      </c>
      <c r="AL25" s="15">
        <v>0</v>
      </c>
      <c r="AM25" s="15">
        <v>43535300</v>
      </c>
      <c r="AN25" s="15">
        <v>58976864</v>
      </c>
      <c r="AO25" s="15">
        <v>45773798</v>
      </c>
      <c r="AP25" s="15">
        <v>5860297</v>
      </c>
      <c r="AQ25" s="15">
        <v>155067316</v>
      </c>
      <c r="AR25" s="15">
        <v>77343483</v>
      </c>
      <c r="AS25" s="16">
        <v>64615799</v>
      </c>
      <c r="AT25" s="16">
        <v>0</v>
      </c>
      <c r="AU25" s="17">
        <v>0.88256421322</v>
      </c>
      <c r="AV25" s="17">
        <v>5.4723685830766797E-2</v>
      </c>
      <c r="AW25" s="17">
        <v>1.00995458458499</v>
      </c>
      <c r="AX25" s="17">
        <v>6.2712100949232893E-2</v>
      </c>
      <c r="AY25" s="17">
        <v>0.94724248363576002</v>
      </c>
      <c r="AZ25" s="17">
        <f t="shared" si="1"/>
        <v>2.2632012330475841E-2</v>
      </c>
      <c r="BA25" s="17">
        <f t="shared" si="2"/>
        <v>6.7297819701013298E-2</v>
      </c>
    </row>
    <row r="26" spans="1:56" ht="15.6" x14ac:dyDescent="0.3">
      <c r="A26" s="14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6"/>
      <c r="AU26" s="17"/>
      <c r="AV26" s="17"/>
      <c r="AW26" s="17"/>
      <c r="AX26" s="17"/>
      <c r="AY26" s="17"/>
      <c r="AZ26" s="17"/>
      <c r="BA26" s="17"/>
    </row>
    <row r="27" spans="1:56" ht="15.6" x14ac:dyDescent="0.3">
      <c r="A27" s="14" t="s">
        <v>75</v>
      </c>
      <c r="B27" s="16">
        <v>1050169</v>
      </c>
      <c r="C27" s="16">
        <v>114534139</v>
      </c>
      <c r="D27" s="16">
        <v>77213083</v>
      </c>
      <c r="E27" s="16">
        <v>22436858</v>
      </c>
      <c r="F27" s="16">
        <v>225454</v>
      </c>
      <c r="G27" s="16">
        <v>558859</v>
      </c>
      <c r="H27" s="16">
        <v>11536932</v>
      </c>
      <c r="I27" s="16">
        <v>1557732</v>
      </c>
      <c r="J27" s="16">
        <v>2891818</v>
      </c>
      <c r="K27" s="16">
        <v>4630879</v>
      </c>
      <c r="L27" s="16">
        <v>3690166</v>
      </c>
      <c r="M27" s="16">
        <v>6947246</v>
      </c>
      <c r="N27" s="16">
        <v>4665546</v>
      </c>
      <c r="O27" s="16">
        <v>12094124</v>
      </c>
      <c r="P27" s="16">
        <v>10937581</v>
      </c>
      <c r="Q27" s="16">
        <v>2664766</v>
      </c>
      <c r="R27" s="16">
        <v>494176</v>
      </c>
      <c r="S27" s="16">
        <v>27260</v>
      </c>
      <c r="T27" s="16"/>
      <c r="U27" s="16"/>
      <c r="V27" s="16"/>
      <c r="W27" s="16"/>
      <c r="X27" s="16"/>
      <c r="Y27" s="16">
        <v>278156788</v>
      </c>
      <c r="Z27" s="16">
        <v>566747488</v>
      </c>
      <c r="AA27" s="16">
        <v>-288590700</v>
      </c>
      <c r="AB27" s="16">
        <v>519791611</v>
      </c>
      <c r="AC27" s="16">
        <v>47071660</v>
      </c>
      <c r="AD27" s="16">
        <v>46955877</v>
      </c>
      <c r="AE27" s="15">
        <v>566747488</v>
      </c>
      <c r="AF27" s="15">
        <v>-13149446</v>
      </c>
      <c r="AG27" s="15">
        <v>40297817</v>
      </c>
      <c r="AH27" s="15">
        <v>-23188907</v>
      </c>
      <c r="AI27" s="15">
        <v>-46982732</v>
      </c>
      <c r="AJ27" s="15">
        <v>-43318495</v>
      </c>
      <c r="AK27" s="15">
        <v>40220912</v>
      </c>
      <c r="AL27" s="15">
        <v>233801733</v>
      </c>
      <c r="AM27" s="15">
        <v>174297393</v>
      </c>
      <c r="AN27" s="15">
        <v>858615126</v>
      </c>
      <c r="AO27" s="15">
        <v>71245280</v>
      </c>
      <c r="AP27" s="15">
        <v>13367517</v>
      </c>
      <c r="AQ27" s="15">
        <v>1395247882</v>
      </c>
      <c r="AR27" s="15">
        <v>797329285</v>
      </c>
      <c r="AS27" s="16">
        <v>369876076</v>
      </c>
      <c r="AT27" s="16">
        <v>300434005</v>
      </c>
      <c r="AU27" s="17">
        <v>-8.6763575744503593E-2</v>
      </c>
      <c r="AV27" s="17">
        <v>0.77692597503488303</v>
      </c>
      <c r="AW27" s="17">
        <v>0.62041893845327101</v>
      </c>
      <c r="AX27" s="17">
        <v>0.309827485563961</v>
      </c>
      <c r="AY27" s="17">
        <v>0.31059145288930901</v>
      </c>
      <c r="AZ27" s="17">
        <f t="shared" si="1"/>
        <v>0.11914994631595971</v>
      </c>
      <c r="BA27" s="17">
        <f t="shared" si="2"/>
        <v>-2.5023962607871417E-2</v>
      </c>
    </row>
    <row r="28" spans="1:56" ht="15.6" x14ac:dyDescent="0.3">
      <c r="A28" s="14" t="s">
        <v>76</v>
      </c>
      <c r="B28" s="16">
        <v>13943466</v>
      </c>
      <c r="C28" s="16"/>
      <c r="D28" s="16">
        <v>40089141</v>
      </c>
      <c r="E28" s="16"/>
      <c r="F28" s="16"/>
      <c r="G28" s="16"/>
      <c r="H28" s="16">
        <v>4927904</v>
      </c>
      <c r="I28" s="16"/>
      <c r="J28" s="16"/>
      <c r="K28" s="16"/>
      <c r="L28" s="16"/>
      <c r="M28" s="16"/>
      <c r="N28" s="16">
        <v>3649272</v>
      </c>
      <c r="O28" s="16"/>
      <c r="P28" s="16">
        <v>2303474</v>
      </c>
      <c r="Q28" s="16">
        <v>364185</v>
      </c>
      <c r="R28" s="16"/>
      <c r="S28" s="16"/>
      <c r="T28" s="16"/>
      <c r="U28" s="16"/>
      <c r="V28" s="16"/>
      <c r="W28" s="16"/>
      <c r="X28" s="16"/>
      <c r="Y28" s="16">
        <v>65277442</v>
      </c>
      <c r="Z28" s="16">
        <v>48443949</v>
      </c>
      <c r="AA28" s="16">
        <v>16833493</v>
      </c>
      <c r="AB28" s="16">
        <v>15442472</v>
      </c>
      <c r="AC28" s="16">
        <v>9695717</v>
      </c>
      <c r="AD28" s="16">
        <v>33001477</v>
      </c>
      <c r="AE28" s="15">
        <v>48443949</v>
      </c>
      <c r="AF28" s="15">
        <v>13215204</v>
      </c>
      <c r="AG28" s="15">
        <v>9901842</v>
      </c>
      <c r="AH28" s="15">
        <v>0</v>
      </c>
      <c r="AI28" s="15">
        <v>-9558187</v>
      </c>
      <c r="AJ28" s="15">
        <v>10763050</v>
      </c>
      <c r="AK28" s="15">
        <v>9874091</v>
      </c>
      <c r="AL28" s="15">
        <v>0</v>
      </c>
      <c r="AM28" s="15">
        <v>20149823</v>
      </c>
      <c r="AN28" s="15">
        <v>119020497</v>
      </c>
      <c r="AO28" s="15">
        <v>26036396</v>
      </c>
      <c r="AP28" s="15">
        <v>15301994</v>
      </c>
      <c r="AQ28" s="15">
        <v>190382801</v>
      </c>
      <c r="AR28" s="15">
        <v>102772428</v>
      </c>
      <c r="AS28" s="16">
        <v>80680420</v>
      </c>
      <c r="AT28" s="16">
        <v>0</v>
      </c>
      <c r="AU28" s="17">
        <v>0.24030087714739501</v>
      </c>
      <c r="AV28" s="17">
        <v>0.15961123391349999</v>
      </c>
      <c r="AW28" s="17">
        <v>0.77639158426404298</v>
      </c>
      <c r="AX28" s="17">
        <v>0.60008788893910403</v>
      </c>
      <c r="AY28" s="17">
        <v>0.176303695324939</v>
      </c>
      <c r="AZ28" s="17">
        <f t="shared" si="1"/>
        <v>2.7961941054421343E-2</v>
      </c>
      <c r="BA28" s="17">
        <f t="shared" si="2"/>
        <v>2.5149102916685064E-2</v>
      </c>
    </row>
    <row r="29" spans="1:56" ht="15.6" x14ac:dyDescent="0.3">
      <c r="A29" s="14" t="s">
        <v>77</v>
      </c>
      <c r="B29" s="16">
        <v>408641</v>
      </c>
      <c r="C29" s="16">
        <v>2085092</v>
      </c>
      <c r="D29" s="16">
        <v>20964995</v>
      </c>
      <c r="E29" s="16">
        <v>8157927</v>
      </c>
      <c r="F29" s="16">
        <v>10964</v>
      </c>
      <c r="G29" s="16">
        <v>0</v>
      </c>
      <c r="H29" s="16">
        <v>146620</v>
      </c>
      <c r="I29" s="16">
        <v>17135</v>
      </c>
      <c r="J29" s="16">
        <v>1140627</v>
      </c>
      <c r="K29" s="16">
        <v>317761</v>
      </c>
      <c r="L29" s="16">
        <v>142834</v>
      </c>
      <c r="M29" s="16">
        <v>301948</v>
      </c>
      <c r="N29" s="16">
        <v>178490</v>
      </c>
      <c r="O29" s="16">
        <v>127368</v>
      </c>
      <c r="P29" s="16">
        <v>386258</v>
      </c>
      <c r="Q29" s="16">
        <v>197037</v>
      </c>
      <c r="R29" s="16">
        <v>12644</v>
      </c>
      <c r="S29" s="16"/>
      <c r="T29" s="16"/>
      <c r="U29" s="16"/>
      <c r="V29" s="16"/>
      <c r="W29" s="16"/>
      <c r="X29" s="16"/>
      <c r="Y29" s="16">
        <v>34596341</v>
      </c>
      <c r="Z29" s="16">
        <v>24232450</v>
      </c>
      <c r="AA29" s="16">
        <v>10363891</v>
      </c>
      <c r="AB29" s="16">
        <v>13997754</v>
      </c>
      <c r="AC29" s="16">
        <v>9873228</v>
      </c>
      <c r="AD29" s="16">
        <v>10234696</v>
      </c>
      <c r="AE29" s="15">
        <v>24232450</v>
      </c>
      <c r="AF29" s="15">
        <v>7163863</v>
      </c>
      <c r="AG29" s="15">
        <v>7517264</v>
      </c>
      <c r="AH29" s="15">
        <v>28932</v>
      </c>
      <c r="AI29" s="15">
        <v>-9011045</v>
      </c>
      <c r="AJ29" s="15">
        <v>3989309</v>
      </c>
      <c r="AK29" s="15">
        <v>4439230</v>
      </c>
      <c r="AL29" s="15">
        <v>0</v>
      </c>
      <c r="AM29" s="15">
        <v>7197760</v>
      </c>
      <c r="AN29" s="15">
        <v>95134481</v>
      </c>
      <c r="AO29" s="15">
        <v>33840176</v>
      </c>
      <c r="AP29" s="15">
        <v>4269351</v>
      </c>
      <c r="AQ29" s="15">
        <v>145447864</v>
      </c>
      <c r="AR29" s="15">
        <v>53022953</v>
      </c>
      <c r="AS29" s="16">
        <v>36507992</v>
      </c>
      <c r="AT29" s="16">
        <v>0</v>
      </c>
      <c r="AU29" s="17">
        <v>0.24156596139679101</v>
      </c>
      <c r="AV29" s="17">
        <v>0.41331937367397897</v>
      </c>
      <c r="AW29" s="17">
        <v>0.67804060361757601</v>
      </c>
      <c r="AX29" s="17">
        <v>0.34511466492922799</v>
      </c>
      <c r="AY29" s="17">
        <v>0.33292593868834702</v>
      </c>
      <c r="AZ29" s="17">
        <f t="shared" si="1"/>
        <v>1.4819527513664832E-2</v>
      </c>
      <c r="BA29" s="17">
        <f t="shared" si="2"/>
        <v>1.3633140121638094E-2</v>
      </c>
    </row>
    <row r="30" spans="1:56" ht="15.6" x14ac:dyDescent="0.3">
      <c r="A30" s="14" t="s">
        <v>78</v>
      </c>
      <c r="B30" s="16">
        <v>4214579</v>
      </c>
      <c r="C30" s="16">
        <v>24122983</v>
      </c>
      <c r="D30" s="16">
        <v>118532646</v>
      </c>
      <c r="E30" s="16">
        <v>19066165</v>
      </c>
      <c r="F30" s="16">
        <v>278590</v>
      </c>
      <c r="G30" s="16">
        <v>0</v>
      </c>
      <c r="H30" s="16">
        <v>2733666</v>
      </c>
      <c r="I30" s="16">
        <v>660094</v>
      </c>
      <c r="J30" s="16">
        <v>2797127</v>
      </c>
      <c r="K30" s="16">
        <v>2066915</v>
      </c>
      <c r="L30" s="16">
        <v>16965</v>
      </c>
      <c r="M30" s="16">
        <v>11020245</v>
      </c>
      <c r="N30" s="16">
        <v>1015460</v>
      </c>
      <c r="O30" s="16">
        <v>6898849</v>
      </c>
      <c r="P30" s="16">
        <v>7482127</v>
      </c>
      <c r="Q30" s="16">
        <v>2937074</v>
      </c>
      <c r="R30" s="16">
        <v>8449</v>
      </c>
      <c r="S30" s="16">
        <v>0</v>
      </c>
      <c r="T30" s="16">
        <v>0</v>
      </c>
      <c r="U30" s="16">
        <v>0</v>
      </c>
      <c r="V30" s="16">
        <v>0</v>
      </c>
      <c r="W30" s="16">
        <v>1132219</v>
      </c>
      <c r="X30" s="16">
        <v>0</v>
      </c>
      <c r="Y30" s="16">
        <v>204984153</v>
      </c>
      <c r="Z30" s="16">
        <v>99242817</v>
      </c>
      <c r="AA30" s="16">
        <v>105741336</v>
      </c>
      <c r="AB30" s="16">
        <v>65950176</v>
      </c>
      <c r="AC30" s="16">
        <v>51978674</v>
      </c>
      <c r="AD30" s="16">
        <v>33292641</v>
      </c>
      <c r="AE30" s="15">
        <v>99242817</v>
      </c>
      <c r="AF30" s="15">
        <v>76336769</v>
      </c>
      <c r="AG30" s="15">
        <v>2913686</v>
      </c>
      <c r="AH30" s="15">
        <v>0</v>
      </c>
      <c r="AI30" s="15">
        <v>-51633429</v>
      </c>
      <c r="AJ30" s="15">
        <v>24582491</v>
      </c>
      <c r="AK30" s="15">
        <v>80800476</v>
      </c>
      <c r="AL30" s="15">
        <v>0</v>
      </c>
      <c r="AM30" s="15">
        <v>40843871</v>
      </c>
      <c r="AN30" s="15">
        <v>191182955</v>
      </c>
      <c r="AO30" s="15">
        <v>122010999</v>
      </c>
      <c r="AP30" s="15">
        <v>49932539</v>
      </c>
      <c r="AQ30" s="15">
        <v>484770840</v>
      </c>
      <c r="AR30" s="15">
        <v>295835767</v>
      </c>
      <c r="AS30" s="16">
        <v>187034307</v>
      </c>
      <c r="AT30" s="16">
        <v>0</v>
      </c>
      <c r="AU30" s="17">
        <v>0.46604307293286301</v>
      </c>
      <c r="AV30" s="17">
        <v>0.33070225804006997</v>
      </c>
      <c r="AW30" s="17">
        <v>0.52058930704319095</v>
      </c>
      <c r="AX30" s="17">
        <v>0.20325466902706599</v>
      </c>
      <c r="AY30" s="17">
        <v>0.31733463801612399</v>
      </c>
      <c r="AZ30" s="17">
        <f t="shared" si="1"/>
        <v>8.7806057156413778E-2</v>
      </c>
      <c r="BA30" s="17">
        <f t="shared" si="2"/>
        <v>0.14527216226917225</v>
      </c>
    </row>
    <row r="31" spans="1:56" ht="15.6" x14ac:dyDescent="0.3">
      <c r="A31" s="19" t="s">
        <v>79</v>
      </c>
      <c r="B31" s="28">
        <f t="shared" ref="B31:AR31" si="3">SUM(B6:B30)</f>
        <v>43641380</v>
      </c>
      <c r="C31" s="28">
        <f t="shared" si="3"/>
        <v>718374572</v>
      </c>
      <c r="D31" s="28">
        <f t="shared" si="3"/>
        <v>788990811</v>
      </c>
      <c r="E31" s="28">
        <f t="shared" si="3"/>
        <v>129583012</v>
      </c>
      <c r="F31" s="28">
        <f t="shared" si="3"/>
        <v>9890835</v>
      </c>
      <c r="G31" s="28">
        <f t="shared" si="3"/>
        <v>1538219</v>
      </c>
      <c r="H31" s="28">
        <f t="shared" si="3"/>
        <v>75712867</v>
      </c>
      <c r="I31" s="28">
        <f t="shared" si="3"/>
        <v>7655312</v>
      </c>
      <c r="J31" s="28">
        <f t="shared" si="3"/>
        <v>9252709</v>
      </c>
      <c r="K31" s="28">
        <f t="shared" si="3"/>
        <v>29113193</v>
      </c>
      <c r="L31" s="28">
        <f t="shared" si="3"/>
        <v>12074619</v>
      </c>
      <c r="M31" s="28">
        <f t="shared" si="3"/>
        <v>108240631</v>
      </c>
      <c r="N31" s="28">
        <f t="shared" si="3"/>
        <v>88333414</v>
      </c>
      <c r="O31" s="28">
        <f t="shared" si="3"/>
        <v>46113198</v>
      </c>
      <c r="P31" s="28">
        <f t="shared" si="3"/>
        <v>119974335</v>
      </c>
      <c r="Q31" s="28">
        <f t="shared" si="3"/>
        <v>116688005</v>
      </c>
      <c r="R31" s="28">
        <f t="shared" si="3"/>
        <v>25890327</v>
      </c>
      <c r="S31" s="28">
        <f t="shared" si="3"/>
        <v>2108908</v>
      </c>
      <c r="T31" s="28">
        <f t="shared" si="3"/>
        <v>34240</v>
      </c>
      <c r="U31" s="28">
        <f t="shared" si="3"/>
        <v>167587</v>
      </c>
      <c r="V31" s="28">
        <f t="shared" si="3"/>
        <v>0</v>
      </c>
      <c r="W31" s="28">
        <f t="shared" si="3"/>
        <v>1132219</v>
      </c>
      <c r="X31" s="28">
        <f t="shared" si="3"/>
        <v>0</v>
      </c>
      <c r="Y31" s="28">
        <f t="shared" si="3"/>
        <v>2334510393</v>
      </c>
      <c r="Z31" s="25">
        <f t="shared" si="3"/>
        <v>1431646997.4400001</v>
      </c>
      <c r="AA31" s="25">
        <f t="shared" si="3"/>
        <v>902863395.55999994</v>
      </c>
      <c r="AB31" s="25">
        <f t="shared" si="3"/>
        <v>1006105916.4400001</v>
      </c>
      <c r="AC31" s="25">
        <f t="shared" si="3"/>
        <v>454072649.05000001</v>
      </c>
      <c r="AD31" s="25">
        <f t="shared" si="3"/>
        <v>425541081</v>
      </c>
      <c r="AE31" s="25">
        <f t="shared" si="3"/>
        <v>1431646997.4400001</v>
      </c>
      <c r="AF31" s="25">
        <f t="shared" si="3"/>
        <v>525474170.74000001</v>
      </c>
      <c r="AG31" s="25">
        <f t="shared" si="3"/>
        <v>152508804</v>
      </c>
      <c r="AH31" s="25">
        <f t="shared" si="3"/>
        <v>-35344308.969999999</v>
      </c>
      <c r="AI31" s="25">
        <f t="shared" si="3"/>
        <v>-499815632.09000003</v>
      </c>
      <c r="AJ31" s="25">
        <f t="shared" si="3"/>
        <v>98253934.419999987</v>
      </c>
      <c r="AK31" s="25">
        <f t="shared" si="3"/>
        <v>639293645</v>
      </c>
      <c r="AL31" s="25">
        <f t="shared" si="3"/>
        <v>275751927</v>
      </c>
      <c r="AM31" s="25">
        <f t="shared" si="3"/>
        <v>1172823990</v>
      </c>
      <c r="AN31" s="25">
        <f t="shared" si="3"/>
        <v>3316940324</v>
      </c>
      <c r="AO31" s="25">
        <f t="shared" si="3"/>
        <v>789827740.74000001</v>
      </c>
      <c r="AP31" s="25">
        <f t="shared" si="3"/>
        <v>462099885.17000002</v>
      </c>
      <c r="AQ31" s="25">
        <f t="shared" si="3"/>
        <v>6701236734.9099998</v>
      </c>
      <c r="AR31" s="25">
        <f t="shared" si="3"/>
        <v>3879537944</v>
      </c>
      <c r="AS31" s="26">
        <f>SUM(AS6:AS30)</f>
        <v>2513854991</v>
      </c>
      <c r="AT31" s="26">
        <f>SUM(AT6:AT30)</f>
        <v>416322350</v>
      </c>
      <c r="AU31" s="27">
        <f>AVERAGE(AU6:AU30)</f>
        <v>0.46976386587351143</v>
      </c>
      <c r="AV31" s="27">
        <f>AVERAGE(AV6:AV30)</f>
        <v>0.19209236487606679</v>
      </c>
      <c r="AW31" s="27">
        <f>AVERAGE(AW6:AW30)</f>
        <v>0.79924144771414907</v>
      </c>
      <c r="AX31" s="27">
        <f>AVERAGE(AX6:AX30)</f>
        <v>0.32227231930910838</v>
      </c>
      <c r="AY31" s="27">
        <f>AVERAGE(AY6:AY30)</f>
        <v>0.47696912840504041</v>
      </c>
      <c r="AZ31" s="27">
        <f>SUM(AZ6:AZ30)</f>
        <v>0.99999999999999967</v>
      </c>
      <c r="BA31" s="27">
        <f>SUM(BA6:BA30)</f>
        <v>0.99999999999999989</v>
      </c>
    </row>
  </sheetData>
  <mergeCells count="1">
    <mergeCell ref="Z1:BA1"/>
  </mergeCells>
  <dataValidations count="1">
    <dataValidation type="list" allowBlank="1" showInputMessage="1" showErrorMessage="1" sqref="A3" xr:uid="{5E0A756D-9E54-4BB9-8B6A-817F70E058B1}">
      <formula1>$A$6:$A$30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2024</vt:lpstr>
      <vt:lpstr>Q2 2024</vt:lpstr>
      <vt:lpstr>Q3 2024</vt:lpstr>
      <vt:lpstr>Q4 2024</vt:lpstr>
      <vt:lpstr>Q1 2025</vt:lpstr>
      <vt:lpstr>Q2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Mensah</dc:creator>
  <cp:lastModifiedBy>Michael Mensah</cp:lastModifiedBy>
  <dcterms:created xsi:type="dcterms:W3CDTF">2026-01-13T10:56:59Z</dcterms:created>
  <dcterms:modified xsi:type="dcterms:W3CDTF">2026-01-13T10:57:18Z</dcterms:modified>
</cp:coreProperties>
</file>