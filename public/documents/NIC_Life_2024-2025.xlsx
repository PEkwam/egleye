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mensah\Downloads\"/>
    </mc:Choice>
  </mc:AlternateContent>
  <xr:revisionPtr revIDLastSave="0" documentId="13_ncr:1_{21529A95-E3D4-490D-A9A4-B7699940E5B2}" xr6:coauthVersionLast="47" xr6:coauthVersionMax="47" xr10:uidLastSave="{00000000-0000-0000-0000-000000000000}"/>
  <bookViews>
    <workbookView xWindow="28680" yWindow="-120" windowWidth="20730" windowHeight="11040" xr2:uid="{C18C7CCB-D14D-4B60-9F96-84F14E51882E}"/>
  </bookViews>
  <sheets>
    <sheet name="Q1, 2024" sheetId="12" r:id="rId1"/>
    <sheet name="Q2, 2024" sheetId="7" r:id="rId2"/>
    <sheet name="Q3, 2024" sheetId="8" r:id="rId3"/>
    <sheet name="Q4, 2024" sheetId="9" r:id="rId4"/>
    <sheet name="Q1, 2025" sheetId="10" r:id="rId5"/>
    <sheet name="Q2, 2025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3" i="12" l="1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O23" i="12"/>
  <c r="AQ16" i="12" s="1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Q9" i="12" l="1"/>
  <c r="AQ10" i="12"/>
  <c r="AQ14" i="12"/>
  <c r="AQ3" i="12" s="1"/>
  <c r="AQ15" i="12"/>
  <c r="AQ23" i="12" l="1"/>
  <c r="AQ22" i="11" l="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AR14" i="11" s="1"/>
  <c r="AR20" i="11"/>
  <c r="AR19" i="11"/>
  <c r="AR18" i="11"/>
  <c r="AR17" i="11"/>
  <c r="AR16" i="11"/>
  <c r="AR15" i="11"/>
  <c r="AR7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AR15" i="10" s="1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R20" i="10"/>
  <c r="AR19" i="10"/>
  <c r="AR18" i="10"/>
  <c r="AR17" i="10"/>
  <c r="AR16" i="10"/>
  <c r="AR8" i="10"/>
  <c r="AR7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AQ10" i="8" s="1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Q19" i="8"/>
  <c r="AQ17" i="8"/>
  <c r="AQ16" i="8"/>
  <c r="AQ15" i="8"/>
  <c r="AQ3" i="8" s="1"/>
  <c r="AQ14" i="8"/>
  <c r="AQ9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AQ8" i="7" s="1"/>
  <c r="AQ23" i="7" s="1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Q17" i="7"/>
  <c r="AQ3" i="7" s="1"/>
  <c r="AQ16" i="7"/>
  <c r="AQ15" i="7"/>
  <c r="AQ14" i="7"/>
  <c r="AQ10" i="7"/>
  <c r="AQ9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R9" i="11" l="1"/>
  <c r="AR12" i="11"/>
  <c r="AR8" i="11"/>
  <c r="AR22" i="11" s="1"/>
  <c r="AR13" i="11"/>
  <c r="AR3" i="11" s="1"/>
  <c r="AR9" i="10"/>
  <c r="AR22" i="10" s="1"/>
  <c r="AR12" i="10"/>
  <c r="AR13" i="10"/>
  <c r="AR3" i="10" s="1"/>
  <c r="AR14" i="10"/>
  <c r="AQ22" i="8"/>
  <c r="AQ8" i="8"/>
  <c r="AQ2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D4352FEA-D281-4A71-89D3-D516EF09E20B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E47C506A-658F-4ACC-BFAA-4199BA4F307A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5AE80158-F97B-49C7-B43F-E820B6AFBE13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B9330CD4-13D3-4B4A-B499-C034379C5959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B6CCE495-2EB6-4053-9B6C-EE7AD14DC0E3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3DFEF2DC-34CC-4C3B-91B7-3F4929DF6FB5}">
      <text>
        <r>
          <rPr>
            <b/>
            <sz val="9"/>
            <color indexed="81"/>
            <rFont val="Tahoma"/>
            <family val="2"/>
          </rPr>
          <t>Please select from drop down list to display company specific data</t>
        </r>
      </text>
    </comment>
  </commentList>
</comments>
</file>

<file path=xl/sharedStrings.xml><?xml version="1.0" encoding="utf-8"?>
<sst xmlns="http://schemas.openxmlformats.org/spreadsheetml/2006/main" count="640" uniqueCount="79">
  <si>
    <t xml:space="preserve">COMPANY  SPECIFIC DATA </t>
  </si>
  <si>
    <t>Credit Life</t>
  </si>
  <si>
    <t>Annuities</t>
  </si>
  <si>
    <t>Other Approved Products</t>
  </si>
  <si>
    <t>Investment Income</t>
  </si>
  <si>
    <t>Cash Balance</t>
  </si>
  <si>
    <t>Inv. Assets</t>
  </si>
  <si>
    <t>Receivables</t>
  </si>
  <si>
    <t>PPEs</t>
  </si>
  <si>
    <t>Total Assets</t>
  </si>
  <si>
    <t>Market Share</t>
  </si>
  <si>
    <t>MiLife Insurance Company Limited</t>
  </si>
  <si>
    <t>LIFE INSURERS</t>
  </si>
  <si>
    <t>Allianz Life Insurance Company Limited</t>
  </si>
  <si>
    <t>Donewell Life Insurance Company Limited</t>
  </si>
  <si>
    <t>Enterprise Life Assurance Company Limited</t>
  </si>
  <si>
    <t>First Insurance Company Limited</t>
  </si>
  <si>
    <t>Glico Life Insurance Company Limited</t>
  </si>
  <si>
    <t>GN Life Assurance Company Limited</t>
  </si>
  <si>
    <t>Hollard Life Assurance Company Limited</t>
  </si>
  <si>
    <t>Metropolitan Life Insurance Ghana Limited</t>
  </si>
  <si>
    <t>Old Mutual Assurance Ghana Limited</t>
  </si>
  <si>
    <t>Prudential Life Insurance Ghana</t>
  </si>
  <si>
    <t>Quality Life Assurance Company Limited</t>
  </si>
  <si>
    <t>Sanlam Life Insurance Ghana Limited</t>
  </si>
  <si>
    <t>SIC Life Insurance Company Limited</t>
  </si>
  <si>
    <t>StarLife Assurance Company Limited</t>
  </si>
  <si>
    <t>Vanguard Life Assurance Company Limited</t>
  </si>
  <si>
    <t>Total By Quarter</t>
  </si>
  <si>
    <t>Impact Life Assurance Company</t>
  </si>
  <si>
    <t>Universal Life Products</t>
  </si>
  <si>
    <t>Unit-Linked Policies</t>
  </si>
  <si>
    <t xml:space="preserve">Investment-Linked Policies </t>
  </si>
  <si>
    <t>Group Policies</t>
  </si>
  <si>
    <t xml:space="preserve">Term </t>
  </si>
  <si>
    <t>Whole Life</t>
  </si>
  <si>
    <t>Endowment Policy</t>
  </si>
  <si>
    <t>Critical Illness (Dread Disease)</t>
  </si>
  <si>
    <t>Total and permanent disability &amp; income protection</t>
  </si>
  <si>
    <t>Microinsurance</t>
  </si>
  <si>
    <t>Insurance Service Revenue</t>
  </si>
  <si>
    <t>Net Insurance Service Revenue</t>
  </si>
  <si>
    <t>Total Insurance Service Expenses</t>
  </si>
  <si>
    <t xml:space="preserve">Insurance Results from Insurance Contracts Issued </t>
  </si>
  <si>
    <t>Non-Attributable Expenses</t>
  </si>
  <si>
    <t>Attributable Expenses</t>
  </si>
  <si>
    <t>Insurance acquisition cash flows</t>
  </si>
  <si>
    <t>Incurred Claims</t>
  </si>
  <si>
    <t>Insurance Service Results</t>
  </si>
  <si>
    <t>Total Insurance Finance Income/ Expense</t>
  </si>
  <si>
    <t>Total Other Income/ Expense</t>
  </si>
  <si>
    <t>Profit After Tax</t>
  </si>
  <si>
    <t>Insurance Contract Assets</t>
  </si>
  <si>
    <t>Reinsurance Contract Assets</t>
  </si>
  <si>
    <t>Insurance Contract Liabilities</t>
  </si>
  <si>
    <t>Investment Contract Liabilities</t>
  </si>
  <si>
    <t>Reinsurance Contract Liabilities</t>
  </si>
  <si>
    <t>Contractual Service Margin</t>
  </si>
  <si>
    <t>Expense Ratio %</t>
  </si>
  <si>
    <t>Attributable Expense Ratio</t>
  </si>
  <si>
    <t>Non-Attributable Expense Ratio</t>
  </si>
  <si>
    <t>Q2, 2024</t>
  </si>
  <si>
    <t>Technical Result Margin %</t>
  </si>
  <si>
    <t>Attributable Ratio</t>
  </si>
  <si>
    <t>Non-Attributable Ratio</t>
  </si>
  <si>
    <t>Q3, 2024</t>
  </si>
  <si>
    <t xml:space="preserve">Expense Ratio </t>
  </si>
  <si>
    <t>Technical Result Margin  %</t>
  </si>
  <si>
    <t>Expense Ratio</t>
  </si>
  <si>
    <t>Sanlam Allainz Company Limited</t>
  </si>
  <si>
    <t>Q4, 2024</t>
  </si>
  <si>
    <t>Total Liabilities</t>
  </si>
  <si>
    <t>SanlamAllianz Life Insurance Ghana Limited</t>
  </si>
  <si>
    <t>Q1 2025</t>
  </si>
  <si>
    <t>Aster Life Insurance Company Limited</t>
  </si>
  <si>
    <t>Pinnacle Life Insurance Ghana Limited</t>
  </si>
  <si>
    <t>Q2 2025</t>
  </si>
  <si>
    <t>Q1, 2024</t>
  </si>
  <si>
    <t>Technical Result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</si>
</sst>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7" x14ac:knownFonts="1">
    <font>
      <sz val="11"/>
      <color theme="1"/>
      <name val="Kawak Regular"/>
      <family val="2"/>
    </font>
    <font>
      <sz val="11"/>
      <color theme="1"/>
      <name val="Aptos Narrow"/>
      <family val="2"/>
      <scheme val="minor"/>
    </font>
    <font>
      <b/>
      <sz val="16"/>
      <name val="Showcard Gothic"/>
      <family val="5"/>
    </font>
    <font>
      <sz val="16"/>
      <name val="Showcard Gothic"/>
      <family val="5"/>
    </font>
    <font>
      <sz val="11"/>
      <color theme="1"/>
      <name val="Garamond"/>
      <family val="1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name val="Garamond"/>
      <family val="1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4F7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0" xfId="1" applyFont="1" applyFill="1"/>
    <xf numFmtId="0" fontId="1" fillId="0" borderId="0" xfId="1"/>
    <xf numFmtId="0" fontId="4" fillId="3" borderId="0" xfId="1" applyFont="1" applyFill="1"/>
    <xf numFmtId="165" fontId="5" fillId="3" borderId="0" xfId="2" applyNumberFormat="1" applyFont="1" applyFill="1" applyAlignment="1">
      <alignment horizontal="right" wrapText="1"/>
    </xf>
    <xf numFmtId="165" fontId="6" fillId="3" borderId="0" xfId="2" applyNumberFormat="1" applyFont="1" applyFill="1" applyAlignment="1">
      <alignment horizontal="right" wrapText="1"/>
    </xf>
    <xf numFmtId="165" fontId="7" fillId="3" borderId="0" xfId="2" applyNumberFormat="1" applyFont="1" applyFill="1" applyAlignment="1">
      <alignment horizontal="right" wrapText="1"/>
    </xf>
    <xf numFmtId="0" fontId="8" fillId="4" borderId="0" xfId="1" applyFont="1" applyFill="1"/>
    <xf numFmtId="165" fontId="9" fillId="5" borderId="0" xfId="2" applyNumberFormat="1" applyFont="1" applyFill="1" applyAlignment="1" applyProtection="1">
      <alignment horizontal="right"/>
      <protection hidden="1"/>
    </xf>
    <xf numFmtId="9" fontId="9" fillId="5" borderId="0" xfId="3" applyFont="1" applyFill="1" applyAlignment="1" applyProtection="1">
      <alignment horizontal="right"/>
      <protection hidden="1"/>
    </xf>
    <xf numFmtId="0" fontId="4" fillId="0" borderId="0" xfId="1" applyFont="1"/>
    <xf numFmtId="165" fontId="5" fillId="0" borderId="0" xfId="2" applyNumberFormat="1" applyFont="1" applyAlignment="1">
      <alignment horizontal="right"/>
    </xf>
    <xf numFmtId="0" fontId="8" fillId="3" borderId="0" xfId="1" applyFont="1" applyFill="1" applyAlignment="1">
      <alignment vertical="center" wrapText="1"/>
    </xf>
    <xf numFmtId="165" fontId="10" fillId="3" borderId="0" xfId="2" applyNumberFormat="1" applyFont="1" applyFill="1" applyAlignment="1">
      <alignment horizontal="right" wrapText="1"/>
    </xf>
    <xf numFmtId="165" fontId="11" fillId="3" borderId="0" xfId="2" applyNumberFormat="1" applyFont="1" applyFill="1" applyAlignment="1">
      <alignment horizontal="right" wrapText="1"/>
    </xf>
    <xf numFmtId="165" fontId="12" fillId="3" borderId="0" xfId="2" applyNumberFormat="1" applyFont="1" applyFill="1" applyAlignment="1">
      <alignment horizontal="right" wrapText="1"/>
    </xf>
    <xf numFmtId="0" fontId="1" fillId="0" borderId="0" xfId="1" applyAlignment="1">
      <alignment wrapText="1"/>
    </xf>
    <xf numFmtId="0" fontId="8" fillId="6" borderId="0" xfId="1" applyFont="1" applyFill="1"/>
    <xf numFmtId="165" fontId="13" fillId="7" borderId="1" xfId="2" applyNumberFormat="1" applyFont="1" applyFill="1" applyBorder="1" applyAlignment="1">
      <alignment horizontal="right" wrapText="1"/>
    </xf>
    <xf numFmtId="165" fontId="13" fillId="7" borderId="0" xfId="2" applyNumberFormat="1" applyFont="1" applyFill="1" applyBorder="1" applyAlignment="1">
      <alignment horizontal="right" wrapText="1"/>
    </xf>
    <xf numFmtId="166" fontId="14" fillId="7" borderId="0" xfId="3" applyNumberFormat="1" applyFont="1" applyFill="1" applyBorder="1" applyAlignment="1">
      <alignment horizontal="right" wrapText="1"/>
    </xf>
    <xf numFmtId="165" fontId="8" fillId="8" borderId="0" xfId="2" applyNumberFormat="1" applyFont="1" applyFill="1" applyBorder="1"/>
    <xf numFmtId="165" fontId="11" fillId="8" borderId="0" xfId="2" applyNumberFormat="1" applyFont="1" applyFill="1" applyBorder="1" applyAlignment="1">
      <alignment horizontal="right"/>
    </xf>
    <xf numFmtId="165" fontId="14" fillId="9" borderId="0" xfId="2" applyNumberFormat="1" applyFont="1" applyFill="1" applyBorder="1" applyAlignment="1">
      <alignment horizontal="right" wrapText="1"/>
    </xf>
    <xf numFmtId="165" fontId="0" fillId="0" borderId="0" xfId="2" applyNumberFormat="1" applyFont="1"/>
    <xf numFmtId="165" fontId="0" fillId="0" borderId="0" xfId="2" applyNumberFormat="1" applyFont="1" applyFill="1" applyAlignment="1">
      <alignment horizontal="right"/>
    </xf>
    <xf numFmtId="165" fontId="13" fillId="0" borderId="2" xfId="2" applyNumberFormat="1" applyFont="1" applyFill="1" applyBorder="1" applyAlignment="1">
      <alignment horizontal="right" wrapText="1"/>
    </xf>
    <xf numFmtId="165" fontId="0" fillId="0" borderId="0" xfId="2" applyNumberFormat="1" applyFont="1" applyAlignment="1">
      <alignment horizontal="right"/>
    </xf>
    <xf numFmtId="9" fontId="5" fillId="0" borderId="0" xfId="3" applyFont="1" applyAlignment="1">
      <alignment horizontal="right"/>
    </xf>
    <xf numFmtId="9" fontId="13" fillId="7" borderId="0" xfId="3" applyFont="1" applyFill="1" applyBorder="1" applyAlignment="1">
      <alignment horizontal="right" wrapText="1"/>
    </xf>
    <xf numFmtId="9" fontId="15" fillId="8" borderId="0" xfId="3" applyFont="1" applyFill="1" applyBorder="1" applyAlignment="1">
      <alignment horizontal="right"/>
    </xf>
    <xf numFmtId="9" fontId="0" fillId="0" borderId="0" xfId="3" applyFont="1" applyFill="1" applyAlignment="1">
      <alignment horizontal="right"/>
    </xf>
    <xf numFmtId="9" fontId="0" fillId="0" borderId="0" xfId="3" applyFont="1" applyAlignment="1">
      <alignment horizontal="right"/>
    </xf>
    <xf numFmtId="9" fontId="7" fillId="3" borderId="0" xfId="3" applyFont="1" applyFill="1" applyAlignment="1">
      <alignment horizontal="right" wrapText="1"/>
    </xf>
    <xf numFmtId="0" fontId="8" fillId="3" borderId="0" xfId="1" applyFont="1" applyFill="1" applyAlignment="1">
      <alignment horizontal="right" vertical="center" wrapText="1"/>
    </xf>
    <xf numFmtId="9" fontId="12" fillId="3" borderId="0" xfId="3" applyFont="1" applyFill="1" applyAlignment="1">
      <alignment horizontal="right" wrapText="1"/>
    </xf>
    <xf numFmtId="0" fontId="13" fillId="7" borderId="0" xfId="3" applyNumberFormat="1" applyFont="1" applyFill="1" applyBorder="1" applyAlignment="1">
      <alignment horizontal="right" wrapText="1"/>
    </xf>
    <xf numFmtId="0" fontId="1" fillId="0" borderId="1" xfId="1" applyBorder="1"/>
    <xf numFmtId="165" fontId="3" fillId="2" borderId="0" xfId="2" applyNumberFormat="1" applyFont="1" applyFill="1" applyAlignment="1">
      <alignment horizontal="left"/>
    </xf>
    <xf numFmtId="9" fontId="6" fillId="3" borderId="0" xfId="3" applyFont="1" applyFill="1" applyAlignment="1">
      <alignment horizontal="right" wrapText="1"/>
    </xf>
    <xf numFmtId="9" fontId="11" fillId="3" borderId="0" xfId="3" applyFont="1" applyFill="1" applyAlignment="1">
      <alignment horizontal="right" wrapText="1"/>
    </xf>
    <xf numFmtId="2" fontId="13" fillId="7" borderId="0" xfId="3" applyNumberFormat="1" applyFont="1" applyFill="1" applyBorder="1" applyAlignment="1">
      <alignment horizontal="right" wrapText="1"/>
    </xf>
  </cellXfs>
  <cellStyles count="4">
    <cellStyle name="Comma 2" xfId="2" xr:uid="{A49CDCF6-AD0F-48B7-95A0-02A9E4E48D7D}"/>
    <cellStyle name="Normal" xfId="0" builtinId="0"/>
    <cellStyle name="Normal 2" xfId="1" xr:uid="{5A9E99FE-148C-4566-9817-3ED434D9508C}"/>
    <cellStyle name="Percent 2" xfId="3" xr:uid="{DA78BE93-32F8-4963-BFCF-4523302C2D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CD49-E4B0-4B1D-8806-C073A31CA011}">
  <dimension ref="A1:AQ24"/>
  <sheetViews>
    <sheetView tabSelected="1" topLeftCell="A2" workbookViewId="0">
      <pane xSplit="1" topLeftCell="C1" activePane="topRight" state="frozen"/>
      <selection pane="topRight" activeCell="C12" sqref="C12"/>
    </sheetView>
  </sheetViews>
  <sheetFormatPr defaultRowHeight="14.4" x14ac:dyDescent="0.3"/>
  <cols>
    <col min="1" max="1" width="34.7265625" style="2" bestFit="1" customWidth="1"/>
    <col min="2" max="2" width="16.90625" style="27" customWidth="1"/>
    <col min="3" max="5" width="14.453125" style="27" bestFit="1" customWidth="1"/>
    <col min="6" max="10" width="15.54296875" style="27" customWidth="1"/>
    <col min="11" max="11" width="15.90625" style="27" bestFit="1" customWidth="1"/>
    <col min="12" max="12" width="11.81640625" style="27" bestFit="1" customWidth="1"/>
    <col min="13" max="13" width="14.453125" style="27" customWidth="1"/>
    <col min="14" max="14" width="22.453125" style="27" bestFit="1" customWidth="1"/>
    <col min="15" max="15" width="17.7265625" style="27" bestFit="1" customWidth="1"/>
    <col min="16" max="16" width="17.7265625" style="27" customWidth="1"/>
    <col min="17" max="17" width="16.36328125" style="27" bestFit="1" customWidth="1"/>
    <col min="18" max="18" width="18" style="27" customWidth="1"/>
    <col min="19" max="19" width="16.90625" style="27" bestFit="1" customWidth="1"/>
    <col min="20" max="20" width="16.90625" style="27" customWidth="1"/>
    <col min="21" max="21" width="18.54296875" style="27" bestFit="1" customWidth="1"/>
    <col min="22" max="22" width="18.54296875" style="27" customWidth="1"/>
    <col min="23" max="23" width="15.81640625" style="27" bestFit="1" customWidth="1"/>
    <col min="24" max="24" width="20.7265625" style="27" bestFit="1" customWidth="1"/>
    <col min="25" max="25" width="15.26953125" style="27" bestFit="1" customWidth="1"/>
    <col min="26" max="26" width="16.36328125" style="27" bestFit="1" customWidth="1"/>
    <col min="27" max="27" width="16.36328125" style="27" customWidth="1"/>
    <col min="28" max="28" width="15.90625" style="27" bestFit="1" customWidth="1"/>
    <col min="29" max="30" width="15.90625" style="27" customWidth="1"/>
    <col min="31" max="31" width="17.453125" style="27" bestFit="1" customWidth="1"/>
    <col min="32" max="32" width="14.453125" style="27" bestFit="1" customWidth="1"/>
    <col min="33" max="33" width="15" style="27" bestFit="1" customWidth="1"/>
    <col min="34" max="34" width="17.453125" style="27" bestFit="1" customWidth="1"/>
    <col min="35" max="35" width="18.26953125" style="27" bestFit="1" customWidth="1"/>
    <col min="36" max="36" width="15.26953125" style="27" bestFit="1" customWidth="1"/>
    <col min="37" max="38" width="15.26953125" style="27" customWidth="1"/>
    <col min="39" max="39" width="15.26953125" style="32" customWidth="1"/>
    <col min="40" max="40" width="14.1796875" style="27" bestFit="1" customWidth="1"/>
    <col min="41" max="42" width="14.1796875" style="27" customWidth="1"/>
    <col min="43" max="43" width="10.6328125" style="27" bestFit="1" customWidth="1"/>
    <col min="44" max="16384" width="8.7265625" style="2"/>
  </cols>
  <sheetData>
    <row r="1" spans="1:43" ht="21" x14ac:dyDescent="0.35">
      <c r="A1" s="1" t="s">
        <v>77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3" ht="69.599999999999994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54</v>
      </c>
      <c r="AJ2" s="5" t="s">
        <v>55</v>
      </c>
      <c r="AK2" s="5" t="s">
        <v>56</v>
      </c>
      <c r="AL2" s="5" t="s">
        <v>57</v>
      </c>
      <c r="AM2" s="39" t="s">
        <v>58</v>
      </c>
      <c r="AN2" s="6" t="s">
        <v>78</v>
      </c>
      <c r="AO2" s="6" t="s">
        <v>59</v>
      </c>
      <c r="AP2" s="6" t="s">
        <v>60</v>
      </c>
      <c r="AQ2" s="6" t="s">
        <v>10</v>
      </c>
    </row>
    <row r="3" spans="1:43" x14ac:dyDescent="0.3">
      <c r="A3" s="7" t="s">
        <v>20</v>
      </c>
      <c r="B3" s="8">
        <f t="shared" ref="B3:AQ3" si="0">INDEX(B6:B23,MATCH($A$3,$A$6:$A$23,0))</f>
        <v>0</v>
      </c>
      <c r="C3" s="8">
        <f t="shared" si="0"/>
        <v>1372861</v>
      </c>
      <c r="D3" s="8">
        <f t="shared" si="0"/>
        <v>0</v>
      </c>
      <c r="E3" s="8">
        <f t="shared" si="0"/>
        <v>2949065</v>
      </c>
      <c r="F3" s="8">
        <f t="shared" si="0"/>
        <v>2391823</v>
      </c>
      <c r="G3" s="8">
        <f t="shared" si="0"/>
        <v>2294864</v>
      </c>
      <c r="H3" s="8">
        <f t="shared" si="0"/>
        <v>0</v>
      </c>
      <c r="I3" s="8">
        <f t="shared" si="0"/>
        <v>0</v>
      </c>
      <c r="J3" s="8">
        <f t="shared" si="0"/>
        <v>0</v>
      </c>
      <c r="K3" s="8">
        <f t="shared" si="0"/>
        <v>0</v>
      </c>
      <c r="L3" s="8">
        <f t="shared" si="0"/>
        <v>0</v>
      </c>
      <c r="M3" s="8">
        <f t="shared" si="0"/>
        <v>0</v>
      </c>
      <c r="N3" s="8">
        <f t="shared" si="0"/>
        <v>0</v>
      </c>
      <c r="O3" s="8">
        <f t="shared" si="0"/>
        <v>9008613</v>
      </c>
      <c r="P3" s="8"/>
      <c r="Q3" s="8">
        <f t="shared" si="0"/>
        <v>12128056</v>
      </c>
      <c r="R3" s="8">
        <f t="shared" si="0"/>
        <v>-3119443</v>
      </c>
      <c r="S3" s="8">
        <f t="shared" si="0"/>
        <v>604749</v>
      </c>
      <c r="T3" s="8">
        <f t="shared" si="0"/>
        <v>12128056</v>
      </c>
      <c r="U3" s="8">
        <f t="shared" si="0"/>
        <v>3037497</v>
      </c>
      <c r="V3" s="8">
        <f t="shared" si="0"/>
        <v>10413632</v>
      </c>
      <c r="W3" s="8">
        <f t="shared" si="0"/>
        <v>-3842662</v>
      </c>
      <c r="X3" s="8">
        <f t="shared" si="0"/>
        <v>13634326</v>
      </c>
      <c r="Y3" s="8">
        <f t="shared" si="0"/>
        <v>-3895904</v>
      </c>
      <c r="Z3" s="8">
        <f t="shared" si="0"/>
        <v>-604749</v>
      </c>
      <c r="AA3" s="8">
        <f t="shared" si="0"/>
        <v>5291011</v>
      </c>
      <c r="AB3" s="8">
        <f t="shared" si="0"/>
        <v>30827948</v>
      </c>
      <c r="AC3" s="8">
        <f t="shared" si="0"/>
        <v>0</v>
      </c>
      <c r="AD3" s="8">
        <f t="shared" si="0"/>
        <v>1350727</v>
      </c>
      <c r="AE3" s="8">
        <f t="shared" si="0"/>
        <v>256520956</v>
      </c>
      <c r="AF3" s="8">
        <f t="shared" si="0"/>
        <v>2836446</v>
      </c>
      <c r="AG3" s="8">
        <f t="shared" si="0"/>
        <v>7844575</v>
      </c>
      <c r="AH3" s="8">
        <f t="shared" si="0"/>
        <v>299411233</v>
      </c>
      <c r="AI3" s="8">
        <f t="shared" si="0"/>
        <v>220995873</v>
      </c>
      <c r="AJ3" s="8">
        <f t="shared" si="0"/>
        <v>0</v>
      </c>
      <c r="AK3" s="8">
        <f t="shared" si="0"/>
        <v>410</v>
      </c>
      <c r="AL3" s="8">
        <f t="shared" si="0"/>
        <v>1784208</v>
      </c>
      <c r="AM3" s="9">
        <f t="shared" si="0"/>
        <v>0.44440293276364401</v>
      </c>
      <c r="AN3" s="9">
        <f t="shared" si="0"/>
        <v>-0.46885637664765401</v>
      </c>
      <c r="AO3" s="9">
        <f t="shared" si="0"/>
        <v>0.37061543208799502</v>
      </c>
      <c r="AP3" s="9">
        <f t="shared" si="0"/>
        <v>7.3787500675649306E-2</v>
      </c>
      <c r="AQ3" s="9">
        <f t="shared" si="0"/>
        <v>0.11002549010269722</v>
      </c>
    </row>
    <row r="4" spans="1:43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28"/>
      <c r="AN4" s="11"/>
      <c r="AO4" s="11"/>
      <c r="AP4" s="11"/>
      <c r="AQ4" s="11"/>
    </row>
    <row r="5" spans="1:43" s="16" customFormat="1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12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54</v>
      </c>
      <c r="AJ5" s="14" t="s">
        <v>55</v>
      </c>
      <c r="AK5" s="14" t="s">
        <v>56</v>
      </c>
      <c r="AL5" s="14" t="s">
        <v>57</v>
      </c>
      <c r="AM5" s="40" t="s">
        <v>58</v>
      </c>
      <c r="AN5" s="14" t="s">
        <v>78</v>
      </c>
      <c r="AO5" s="14" t="s">
        <v>59</v>
      </c>
      <c r="AP5" s="14" t="s">
        <v>60</v>
      </c>
      <c r="AQ5" s="15" t="s">
        <v>10</v>
      </c>
    </row>
    <row r="6" spans="1:43" x14ac:dyDescent="0.3">
      <c r="A6" s="17" t="s">
        <v>13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9"/>
      <c r="AL6" s="19"/>
      <c r="AM6" s="29"/>
      <c r="AN6" s="29"/>
      <c r="AO6" s="29"/>
      <c r="AP6" s="29"/>
      <c r="AQ6" s="20"/>
    </row>
    <row r="7" spans="1:43" x14ac:dyDescent="0.3">
      <c r="A7" s="17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9"/>
      <c r="AL7" s="19"/>
      <c r="AM7" s="29"/>
      <c r="AN7" s="29"/>
      <c r="AO7" s="29"/>
      <c r="AP7" s="29"/>
      <c r="AQ7" s="20"/>
    </row>
    <row r="8" spans="1:43" x14ac:dyDescent="0.3">
      <c r="A8" s="17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9"/>
      <c r="AL8" s="19"/>
      <c r="AM8" s="29"/>
      <c r="AN8" s="29"/>
      <c r="AO8" s="29"/>
      <c r="AP8" s="29"/>
      <c r="AQ8" s="20"/>
    </row>
    <row r="9" spans="1:43" x14ac:dyDescent="0.3">
      <c r="A9" s="17" t="s">
        <v>16</v>
      </c>
      <c r="B9" s="18">
        <v>0</v>
      </c>
      <c r="C9" s="18">
        <v>0</v>
      </c>
      <c r="D9" s="18">
        <v>0</v>
      </c>
      <c r="E9" s="18">
        <v>0</v>
      </c>
      <c r="F9" s="18">
        <v>1039815.33499999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1039815.33499999</v>
      </c>
      <c r="P9" s="18">
        <v>1037502.73499999</v>
      </c>
      <c r="Q9" s="18">
        <v>45222</v>
      </c>
      <c r="R9" s="18">
        <v>994593.33499999903</v>
      </c>
      <c r="S9" s="18">
        <v>1780336.78</v>
      </c>
      <c r="T9" s="18">
        <v>45222</v>
      </c>
      <c r="U9" s="18">
        <v>0</v>
      </c>
      <c r="V9" s="18">
        <v>0</v>
      </c>
      <c r="W9" s="18">
        <v>996905.93499999901</v>
      </c>
      <c r="X9" s="18">
        <v>288838.63</v>
      </c>
      <c r="Y9" s="18">
        <v>-417854</v>
      </c>
      <c r="Z9" s="18">
        <v>-1780336.78</v>
      </c>
      <c r="AA9" s="18">
        <v>-912446.21499999997</v>
      </c>
      <c r="AB9" s="18">
        <v>737589.01</v>
      </c>
      <c r="AC9" s="18">
        <v>0</v>
      </c>
      <c r="AD9" s="18">
        <v>0</v>
      </c>
      <c r="AE9" s="18">
        <v>4985992.1899999902</v>
      </c>
      <c r="AF9" s="18">
        <v>7727570.0300000003</v>
      </c>
      <c r="AG9" s="18">
        <v>6541693.5499999998</v>
      </c>
      <c r="AH9" s="18">
        <v>20022344.780000001</v>
      </c>
      <c r="AI9" s="18">
        <v>14972132.1785424</v>
      </c>
      <c r="AJ9" s="18">
        <v>0</v>
      </c>
      <c r="AK9" s="19">
        <v>703957.32145758497</v>
      </c>
      <c r="AL9" s="19">
        <v>0</v>
      </c>
      <c r="AM9" s="29">
        <v>1.7159827342527401</v>
      </c>
      <c r="AN9" s="29">
        <v>0.96087065736747101</v>
      </c>
      <c r="AO9" s="29">
        <v>0</v>
      </c>
      <c r="AP9" s="29">
        <v>1.7159827342527401</v>
      </c>
      <c r="AQ9" s="20">
        <f t="shared" ref="AQ9:AQ10" si="1">O9/$O$23</f>
        <v>1.2699645533632556E-2</v>
      </c>
    </row>
    <row r="10" spans="1:43" x14ac:dyDescent="0.3">
      <c r="A10" s="17" t="s">
        <v>17</v>
      </c>
      <c r="B10" s="18">
        <v>4347487</v>
      </c>
      <c r="C10" s="18">
        <v>0</v>
      </c>
      <c r="D10" s="18">
        <v>0</v>
      </c>
      <c r="E10" s="18">
        <v>9825696</v>
      </c>
      <c r="F10" s="18">
        <v>0</v>
      </c>
      <c r="G10" s="18">
        <v>1470124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226936</v>
      </c>
      <c r="N10" s="18">
        <v>260945</v>
      </c>
      <c r="O10" s="18">
        <v>16131188</v>
      </c>
      <c r="P10" s="18">
        <v>16131188</v>
      </c>
      <c r="Q10" s="18">
        <v>19208080</v>
      </c>
      <c r="R10" s="18">
        <v>-3076892</v>
      </c>
      <c r="S10" s="18">
        <v>0</v>
      </c>
      <c r="T10" s="18">
        <v>19208080</v>
      </c>
      <c r="U10" s="18">
        <v>2120978</v>
      </c>
      <c r="V10" s="18">
        <v>18718933</v>
      </c>
      <c r="W10" s="18">
        <v>-3076892</v>
      </c>
      <c r="X10" s="18">
        <v>5542482.0999999996</v>
      </c>
      <c r="Y10" s="18">
        <v>-1586179</v>
      </c>
      <c r="Z10" s="18">
        <v>0</v>
      </c>
      <c r="AA10" s="18">
        <v>879411.09999999905</v>
      </c>
      <c r="AB10" s="18">
        <v>48747365.329999998</v>
      </c>
      <c r="AC10" s="18">
        <v>0</v>
      </c>
      <c r="AD10" s="18">
        <v>0</v>
      </c>
      <c r="AE10" s="18">
        <v>506595955.99000001</v>
      </c>
      <c r="AF10" s="18">
        <v>65371749.149999902</v>
      </c>
      <c r="AG10" s="18">
        <v>10797103.5436083</v>
      </c>
      <c r="AH10" s="18">
        <v>633146911.17999995</v>
      </c>
      <c r="AI10" s="18">
        <v>73362334</v>
      </c>
      <c r="AJ10" s="18">
        <v>219763305.558</v>
      </c>
      <c r="AK10" s="19">
        <v>0</v>
      </c>
      <c r="AL10" s="19">
        <v>0</v>
      </c>
      <c r="AM10" s="29">
        <v>0.13148306249979799</v>
      </c>
      <c r="AN10" s="29">
        <v>-0.19074181021261399</v>
      </c>
      <c r="AO10" s="29">
        <v>0.13148306249979799</v>
      </c>
      <c r="AP10" s="29">
        <v>0</v>
      </c>
      <c r="AQ10" s="20">
        <f t="shared" si="1"/>
        <v>0.19701610732293062</v>
      </c>
    </row>
    <row r="11" spans="1:43" x14ac:dyDescent="0.3">
      <c r="A11" s="17" t="s">
        <v>18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9"/>
      <c r="AL11" s="19"/>
      <c r="AM11" s="29"/>
      <c r="AN11" s="29"/>
      <c r="AO11" s="29"/>
      <c r="AP11" s="29"/>
      <c r="AQ11" s="20"/>
    </row>
    <row r="12" spans="1:43" x14ac:dyDescent="0.3">
      <c r="A12" s="17" t="s">
        <v>19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9"/>
      <c r="AL12" s="19"/>
      <c r="AM12" s="29"/>
      <c r="AN12" s="29"/>
      <c r="AO12" s="29"/>
      <c r="AP12" s="29"/>
      <c r="AQ12" s="20"/>
    </row>
    <row r="13" spans="1:43" x14ac:dyDescent="0.3">
      <c r="A13" s="17" t="s">
        <v>29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19"/>
      <c r="AM13" s="29"/>
      <c r="AN13" s="29"/>
      <c r="AO13" s="29"/>
      <c r="AP13" s="29"/>
      <c r="AQ13" s="20"/>
    </row>
    <row r="14" spans="1:43" x14ac:dyDescent="0.3">
      <c r="A14" s="17" t="s">
        <v>20</v>
      </c>
      <c r="B14" s="18">
        <v>0</v>
      </c>
      <c r="C14" s="18">
        <v>1372861</v>
      </c>
      <c r="D14" s="18">
        <v>0</v>
      </c>
      <c r="E14" s="18">
        <v>2949065</v>
      </c>
      <c r="F14" s="18">
        <v>2391823</v>
      </c>
      <c r="G14" s="18">
        <v>2294864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9008613</v>
      </c>
      <c r="P14" s="18">
        <v>8195819</v>
      </c>
      <c r="Q14" s="18">
        <v>12128056</v>
      </c>
      <c r="R14" s="18">
        <v>-3119443</v>
      </c>
      <c r="S14" s="18">
        <v>604749</v>
      </c>
      <c r="T14" s="18">
        <v>12128056</v>
      </c>
      <c r="U14" s="18">
        <v>3037497</v>
      </c>
      <c r="V14" s="18">
        <v>10413632</v>
      </c>
      <c r="W14" s="18">
        <v>-3842662</v>
      </c>
      <c r="X14" s="18">
        <v>13634326</v>
      </c>
      <c r="Y14" s="18">
        <v>-3895904</v>
      </c>
      <c r="Z14" s="18">
        <v>-604749</v>
      </c>
      <c r="AA14" s="18">
        <v>5291011</v>
      </c>
      <c r="AB14" s="18">
        <v>30827948</v>
      </c>
      <c r="AC14" s="18">
        <v>0</v>
      </c>
      <c r="AD14" s="18">
        <v>1350727</v>
      </c>
      <c r="AE14" s="18">
        <v>256520956</v>
      </c>
      <c r="AF14" s="18">
        <v>2836446</v>
      </c>
      <c r="AG14" s="18">
        <v>7844575</v>
      </c>
      <c r="AH14" s="18">
        <v>299411233</v>
      </c>
      <c r="AI14" s="18">
        <v>220995873</v>
      </c>
      <c r="AJ14" s="18">
        <v>0</v>
      </c>
      <c r="AK14" s="19">
        <v>410</v>
      </c>
      <c r="AL14" s="19">
        <v>1784208</v>
      </c>
      <c r="AM14" s="29">
        <v>0.44440293276364401</v>
      </c>
      <c r="AN14" s="29">
        <v>-0.46885637664765401</v>
      </c>
      <c r="AO14" s="29">
        <v>0.37061543208799502</v>
      </c>
      <c r="AP14" s="29">
        <v>7.3787500675649306E-2</v>
      </c>
      <c r="AQ14" s="20">
        <f>O14/$O$23</f>
        <v>0.11002549010269722</v>
      </c>
    </row>
    <row r="15" spans="1:43" x14ac:dyDescent="0.3">
      <c r="A15" s="17" t="s">
        <v>11</v>
      </c>
      <c r="B15" s="18">
        <v>0</v>
      </c>
      <c r="C15" s="18">
        <v>0</v>
      </c>
      <c r="D15" s="18">
        <v>5091878.0093318196</v>
      </c>
      <c r="E15" s="18">
        <v>0</v>
      </c>
      <c r="F15" s="18">
        <v>1378630.49920696</v>
      </c>
      <c r="G15" s="18">
        <v>0</v>
      </c>
      <c r="H15" s="18">
        <v>11133911.628265001</v>
      </c>
      <c r="I15" s="18">
        <v>5935913.8821718898</v>
      </c>
      <c r="J15" s="18">
        <v>0</v>
      </c>
      <c r="K15" s="18">
        <v>0</v>
      </c>
      <c r="L15" s="18">
        <v>0</v>
      </c>
      <c r="M15" s="18">
        <v>7217460.5810242603</v>
      </c>
      <c r="N15" s="18">
        <v>0</v>
      </c>
      <c r="O15" s="18">
        <v>30757794.600000001</v>
      </c>
      <c r="P15" s="18">
        <v>29870604</v>
      </c>
      <c r="Q15" s="18">
        <v>24538230.999999899</v>
      </c>
      <c r="R15" s="18">
        <v>6219563.5999999996</v>
      </c>
      <c r="S15" s="18">
        <v>2076150.6</v>
      </c>
      <c r="T15" s="18">
        <v>24538230.999999899</v>
      </c>
      <c r="U15" s="18">
        <v>3003049.6670444701</v>
      </c>
      <c r="V15" s="18">
        <v>22927906.515003201</v>
      </c>
      <c r="W15" s="18">
        <v>5373787.4000000004</v>
      </c>
      <c r="X15" s="18">
        <v>0</v>
      </c>
      <c r="Y15" s="18">
        <v>6303521.7268838501</v>
      </c>
      <c r="Z15" s="18">
        <v>-1056967</v>
      </c>
      <c r="AA15" s="18">
        <v>10089324.9268838</v>
      </c>
      <c r="AB15" s="18">
        <v>11565424</v>
      </c>
      <c r="AC15" s="18">
        <v>0</v>
      </c>
      <c r="AD15" s="18">
        <v>0</v>
      </c>
      <c r="AE15" s="18">
        <v>296601932.01999903</v>
      </c>
      <c r="AF15" s="18">
        <v>56093411.8699999</v>
      </c>
      <c r="AG15" s="18">
        <v>24371476.581999999</v>
      </c>
      <c r="AH15" s="18">
        <v>388632244.47000003</v>
      </c>
      <c r="AI15" s="18">
        <v>133056256</v>
      </c>
      <c r="AJ15" s="18">
        <v>0</v>
      </c>
      <c r="AK15" s="19">
        <v>66751300.749849901</v>
      </c>
      <c r="AL15" s="19">
        <v>232983657.40000001</v>
      </c>
      <c r="AM15" s="29">
        <v>0.17004009249509899</v>
      </c>
      <c r="AN15" s="29">
        <v>0.17990220083932701</v>
      </c>
      <c r="AO15" s="29">
        <v>0.100535284356636</v>
      </c>
      <c r="AP15" s="29">
        <v>6.9504808138462798E-2</v>
      </c>
      <c r="AQ15" s="20">
        <f>O15/$O$23</f>
        <v>0.37565621093314744</v>
      </c>
    </row>
    <row r="16" spans="1:43" x14ac:dyDescent="0.3">
      <c r="A16" s="17" t="s">
        <v>21</v>
      </c>
      <c r="B16" s="18">
        <v>7833900.1500000004</v>
      </c>
      <c r="C16" s="18">
        <v>0</v>
      </c>
      <c r="D16" s="18">
        <v>0</v>
      </c>
      <c r="E16" s="18">
        <v>17106197.405000001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24940097.555</v>
      </c>
      <c r="P16" s="18">
        <v>18318932.91</v>
      </c>
      <c r="Q16" s="18">
        <v>21071508.68</v>
      </c>
      <c r="R16" s="18">
        <v>3868588.875</v>
      </c>
      <c r="S16" s="18">
        <v>3920000</v>
      </c>
      <c r="T16" s="18">
        <v>21071508.68</v>
      </c>
      <c r="U16" s="18">
        <v>13949133.454999899</v>
      </c>
      <c r="V16" s="18">
        <v>10306325.2999999</v>
      </c>
      <c r="W16" s="18">
        <v>-2752575.77</v>
      </c>
      <c r="X16" s="18">
        <v>23190387.090050001</v>
      </c>
      <c r="Y16" s="18">
        <v>-9120160.0700000003</v>
      </c>
      <c r="Z16" s="18">
        <v>-8980000</v>
      </c>
      <c r="AA16" s="18">
        <v>2337651.2500499999</v>
      </c>
      <c r="AB16" s="18">
        <v>33689611.609999999</v>
      </c>
      <c r="AC16" s="18">
        <v>0</v>
      </c>
      <c r="AD16" s="18">
        <v>18289949</v>
      </c>
      <c r="AE16" s="18">
        <v>405299250.49999899</v>
      </c>
      <c r="AF16" s="18">
        <v>11765000.26915</v>
      </c>
      <c r="AG16" s="18">
        <v>14920344.52</v>
      </c>
      <c r="AH16" s="18">
        <v>483964155.89999998</v>
      </c>
      <c r="AI16" s="18">
        <v>350956264.27322799</v>
      </c>
      <c r="AJ16" s="18">
        <v>73882431.900000006</v>
      </c>
      <c r="AK16" s="19">
        <v>0</v>
      </c>
      <c r="AL16" s="19">
        <v>0</v>
      </c>
      <c r="AM16" s="29">
        <v>0.97544619781021902</v>
      </c>
      <c r="AN16" s="29">
        <v>-0.150258521253572</v>
      </c>
      <c r="AO16" s="29">
        <v>0.76145993456777095</v>
      </c>
      <c r="AP16" s="29">
        <v>0.21398626324244699</v>
      </c>
      <c r="AQ16" s="20">
        <f>O16/$O$23</f>
        <v>0.3046025461075923</v>
      </c>
    </row>
    <row r="17" spans="1:43" x14ac:dyDescent="0.3">
      <c r="A17" s="17" t="s">
        <v>22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9"/>
      <c r="AL17" s="19"/>
      <c r="AM17" s="29"/>
      <c r="AN17" s="29"/>
      <c r="AO17" s="29"/>
      <c r="AP17" s="29"/>
      <c r="AQ17" s="20"/>
    </row>
    <row r="18" spans="1:43" x14ac:dyDescent="0.3">
      <c r="A18" s="17" t="s">
        <v>23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  <c r="AL18" s="19"/>
      <c r="AM18" s="41"/>
      <c r="AN18" s="29"/>
      <c r="AO18" s="29"/>
      <c r="AP18" s="29"/>
      <c r="AQ18" s="20"/>
    </row>
    <row r="19" spans="1:43" x14ac:dyDescent="0.3">
      <c r="A19" s="17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9"/>
      <c r="AL19" s="19"/>
      <c r="AM19" s="41"/>
      <c r="AN19" s="29"/>
      <c r="AO19" s="29"/>
      <c r="AP19" s="29"/>
      <c r="AQ19" s="20"/>
    </row>
    <row r="20" spans="1:43" x14ac:dyDescent="0.3">
      <c r="A20" s="17" t="s">
        <v>25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9"/>
      <c r="AL20" s="19"/>
      <c r="AM20" s="41"/>
      <c r="AN20" s="29"/>
      <c r="AO20" s="29"/>
      <c r="AP20" s="29"/>
      <c r="AQ20" s="20"/>
    </row>
    <row r="21" spans="1:43" x14ac:dyDescent="0.3">
      <c r="A21" s="17" t="s">
        <v>26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9"/>
      <c r="AL21" s="19"/>
      <c r="AM21" s="41"/>
      <c r="AN21" s="29"/>
      <c r="AO21" s="29"/>
      <c r="AP21" s="29"/>
      <c r="AQ21" s="20"/>
    </row>
    <row r="22" spans="1:43" x14ac:dyDescent="0.3">
      <c r="A22" s="17" t="s">
        <v>27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9"/>
      <c r="AL22" s="19"/>
      <c r="AM22" s="41"/>
      <c r="AN22" s="29"/>
      <c r="AO22" s="29"/>
      <c r="AP22" s="29"/>
      <c r="AQ22" s="20"/>
    </row>
    <row r="23" spans="1:43" s="24" customFormat="1" x14ac:dyDescent="0.3">
      <c r="A23" s="21" t="s">
        <v>28</v>
      </c>
      <c r="B23" s="22">
        <f t="shared" ref="B23:AL23" si="2">SUM(B6:B22)</f>
        <v>12181387.15</v>
      </c>
      <c r="C23" s="22">
        <f t="shared" si="2"/>
        <v>1372861</v>
      </c>
      <c r="D23" s="22">
        <f t="shared" si="2"/>
        <v>5091878.0093318196</v>
      </c>
      <c r="E23" s="22">
        <f t="shared" si="2"/>
        <v>29880958.405000001</v>
      </c>
      <c r="F23" s="22">
        <f t="shared" si="2"/>
        <v>4810268.8342069499</v>
      </c>
      <c r="G23" s="22">
        <f t="shared" si="2"/>
        <v>3764988</v>
      </c>
      <c r="H23" s="22">
        <f t="shared" si="2"/>
        <v>11133911.628265001</v>
      </c>
      <c r="I23" s="22">
        <f t="shared" si="2"/>
        <v>5935913.8821718898</v>
      </c>
      <c r="J23" s="22">
        <f t="shared" si="2"/>
        <v>0</v>
      </c>
      <c r="K23" s="22">
        <f t="shared" si="2"/>
        <v>0</v>
      </c>
      <c r="L23" s="22">
        <f t="shared" si="2"/>
        <v>0</v>
      </c>
      <c r="M23" s="22">
        <f t="shared" si="2"/>
        <v>7444396.5810242603</v>
      </c>
      <c r="N23" s="22">
        <f t="shared" si="2"/>
        <v>260945</v>
      </c>
      <c r="O23" s="22">
        <f t="shared" si="2"/>
        <v>81877508.48999998</v>
      </c>
      <c r="P23" s="22"/>
      <c r="Q23" s="22">
        <f t="shared" si="2"/>
        <v>76991097.679999888</v>
      </c>
      <c r="R23" s="22">
        <f t="shared" si="2"/>
        <v>4886410.8099999987</v>
      </c>
      <c r="S23" s="22">
        <f t="shared" si="2"/>
        <v>8381236.3800000008</v>
      </c>
      <c r="T23" s="22">
        <f t="shared" si="2"/>
        <v>76991097.679999888</v>
      </c>
      <c r="U23" s="22">
        <f t="shared" si="2"/>
        <v>22110658.12204437</v>
      </c>
      <c r="V23" s="22">
        <f t="shared" si="2"/>
        <v>62366796.815003105</v>
      </c>
      <c r="W23" s="22">
        <f t="shared" si="2"/>
        <v>-3301436.435000001</v>
      </c>
      <c r="X23" s="22">
        <f t="shared" si="2"/>
        <v>42656033.820050001</v>
      </c>
      <c r="Y23" s="22">
        <f t="shared" si="2"/>
        <v>-8716575.3431161493</v>
      </c>
      <c r="Z23" s="22">
        <f t="shared" si="2"/>
        <v>-12422052.780000001</v>
      </c>
      <c r="AA23" s="22">
        <f t="shared" si="2"/>
        <v>17684952.061933801</v>
      </c>
      <c r="AB23" s="22">
        <f t="shared" si="2"/>
        <v>125567937.95</v>
      </c>
      <c r="AC23" s="22">
        <f t="shared" si="2"/>
        <v>0</v>
      </c>
      <c r="AD23" s="22">
        <f t="shared" si="2"/>
        <v>19640676</v>
      </c>
      <c r="AE23" s="22">
        <f t="shared" si="2"/>
        <v>1470004086.6999981</v>
      </c>
      <c r="AF23" s="22">
        <f t="shared" si="2"/>
        <v>143794177.31914979</v>
      </c>
      <c r="AG23" s="22">
        <f t="shared" si="2"/>
        <v>64475193.195608303</v>
      </c>
      <c r="AH23" s="22">
        <f t="shared" si="2"/>
        <v>1825176889.3299999</v>
      </c>
      <c r="AI23" s="22">
        <f t="shared" si="2"/>
        <v>793342859.45177031</v>
      </c>
      <c r="AJ23" s="23">
        <f t="shared" si="2"/>
        <v>293645737.458</v>
      </c>
      <c r="AK23" s="23">
        <f t="shared" si="2"/>
        <v>67455668.07130748</v>
      </c>
      <c r="AL23" s="23">
        <f t="shared" si="2"/>
        <v>234767865.40000001</v>
      </c>
      <c r="AM23" s="30">
        <f>SUM(AM6:AM22)/COUNT(AM6:AM22)</f>
        <v>0.68747100396430005</v>
      </c>
      <c r="AN23" s="30">
        <f>SUM(AN6:AN22)/COUNT(AN6:AN22)</f>
        <v>6.618323001859161E-2</v>
      </c>
      <c r="AO23" s="30">
        <f t="shared" ref="AO23:AP23" si="3">SUM(AO6:AO22)/COUNT(AO6:AO22)</f>
        <v>0.27281874270244</v>
      </c>
      <c r="AP23" s="30">
        <f t="shared" si="3"/>
        <v>0.41465226126185983</v>
      </c>
      <c r="AQ23" s="20">
        <f>SUM(AQ6:AQ22)</f>
        <v>1.0000000000000002</v>
      </c>
    </row>
    <row r="24" spans="1:43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6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31"/>
      <c r="AN24" s="25"/>
      <c r="AO24" s="25"/>
      <c r="AP24" s="25"/>
      <c r="AQ24" s="25"/>
    </row>
  </sheetData>
  <mergeCells count="1">
    <mergeCell ref="B1:AQ1"/>
  </mergeCells>
  <dataValidations count="1">
    <dataValidation type="list" allowBlank="1" showInputMessage="1" showErrorMessage="1" sqref="A3" xr:uid="{7550BD99-9A47-4DA5-99FC-62BF3D9B6711}">
      <formula1>$A$6:$A$23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18F8-8355-47A5-A6DA-E5B70D84277B}">
  <dimension ref="A1:AQ24"/>
  <sheetViews>
    <sheetView topLeftCell="A2" workbookViewId="0">
      <pane xSplit="1" topLeftCell="B1" activePane="topRight" state="frozen"/>
      <selection activeCell="A5" sqref="A5"/>
      <selection pane="topRight" activeCell="X8" sqref="X8"/>
    </sheetView>
  </sheetViews>
  <sheetFormatPr defaultRowHeight="14.4" x14ac:dyDescent="0.3"/>
  <cols>
    <col min="1" max="1" width="34.7265625" style="2" bestFit="1" customWidth="1"/>
    <col min="2" max="2" width="16.90625" style="27" customWidth="1"/>
    <col min="3" max="5" width="14.453125" style="27" bestFit="1" customWidth="1"/>
    <col min="6" max="10" width="15.54296875" style="27" customWidth="1"/>
    <col min="11" max="11" width="15.90625" style="27" bestFit="1" customWidth="1"/>
    <col min="12" max="12" width="11.81640625" style="27" bestFit="1" customWidth="1"/>
    <col min="13" max="13" width="14.453125" style="27" customWidth="1"/>
    <col min="14" max="14" width="22.453125" style="27" bestFit="1" customWidth="1"/>
    <col min="15" max="15" width="17.7265625" style="27" bestFit="1" customWidth="1"/>
    <col min="16" max="16" width="17.7265625" style="27" customWidth="1"/>
    <col min="17" max="17" width="16.36328125" style="27" bestFit="1" customWidth="1"/>
    <col min="18" max="18" width="18" style="27" customWidth="1"/>
    <col min="19" max="19" width="16.90625" style="27" bestFit="1" customWidth="1"/>
    <col min="20" max="20" width="16.90625" style="27" customWidth="1"/>
    <col min="21" max="21" width="18.54296875" style="27" bestFit="1" customWidth="1"/>
    <col min="22" max="22" width="18.54296875" style="27" customWidth="1"/>
    <col min="23" max="23" width="15.81640625" style="27" bestFit="1" customWidth="1"/>
    <col min="24" max="24" width="20.7265625" style="27" bestFit="1" customWidth="1"/>
    <col min="25" max="25" width="15.26953125" style="27" bestFit="1" customWidth="1"/>
    <col min="26" max="26" width="16.36328125" style="27" bestFit="1" customWidth="1"/>
    <col min="27" max="27" width="16.36328125" style="27" customWidth="1"/>
    <col min="28" max="28" width="15.90625" style="27" bestFit="1" customWidth="1"/>
    <col min="29" max="30" width="15.90625" style="27" customWidth="1"/>
    <col min="31" max="31" width="17.453125" style="27" bestFit="1" customWidth="1"/>
    <col min="32" max="32" width="14.453125" style="27" bestFit="1" customWidth="1"/>
    <col min="33" max="33" width="15" style="27" bestFit="1" customWidth="1"/>
    <col min="34" max="34" width="17.453125" style="27" bestFit="1" customWidth="1"/>
    <col min="35" max="35" width="18.26953125" style="27" bestFit="1" customWidth="1"/>
    <col min="36" max="36" width="15.26953125" style="27" bestFit="1" customWidth="1"/>
    <col min="37" max="38" width="15.26953125" style="27" customWidth="1"/>
    <col min="39" max="39" width="14.1796875" style="32" bestFit="1" customWidth="1"/>
    <col min="40" max="42" width="16.7265625" style="32" customWidth="1"/>
    <col min="43" max="43" width="10.6328125" style="27" bestFit="1" customWidth="1"/>
    <col min="44" max="16384" width="8.7265625" style="2"/>
  </cols>
  <sheetData>
    <row r="1" spans="1:43" ht="21" x14ac:dyDescent="0.35">
      <c r="A1" s="1" t="s">
        <v>61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3" ht="69.599999999999994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54</v>
      </c>
      <c r="AJ2" s="5" t="s">
        <v>55</v>
      </c>
      <c r="AK2" s="5" t="s">
        <v>56</v>
      </c>
      <c r="AL2" s="5" t="s">
        <v>57</v>
      </c>
      <c r="AM2" s="33" t="s">
        <v>58</v>
      </c>
      <c r="AN2" s="33" t="s">
        <v>62</v>
      </c>
      <c r="AO2" s="33" t="s">
        <v>63</v>
      </c>
      <c r="AP2" s="33" t="s">
        <v>64</v>
      </c>
      <c r="AQ2" s="6" t="s">
        <v>10</v>
      </c>
    </row>
    <row r="3" spans="1:43" x14ac:dyDescent="0.3">
      <c r="A3" s="7" t="s">
        <v>22</v>
      </c>
      <c r="B3" s="8">
        <f t="shared" ref="B3:AQ3" si="0">INDEX(B6:B23,MATCH($A$3,$A$6:$A$23,0))</f>
        <v>85546199.253011301</v>
      </c>
      <c r="C3" s="8">
        <f t="shared" si="0"/>
        <v>0</v>
      </c>
      <c r="D3" s="8">
        <f t="shared" si="0"/>
        <v>0</v>
      </c>
      <c r="E3" s="8">
        <f t="shared" si="0"/>
        <v>18135007.064174801</v>
      </c>
      <c r="F3" s="8">
        <f t="shared" si="0"/>
        <v>-8453920.1674185693</v>
      </c>
      <c r="G3" s="8">
        <f t="shared" si="0"/>
        <v>-83218.272423529997</v>
      </c>
      <c r="H3" s="8">
        <f t="shared" si="0"/>
        <v>49228126.3785595</v>
      </c>
      <c r="I3" s="8">
        <f t="shared" si="0"/>
        <v>18358740.661438499</v>
      </c>
      <c r="J3" s="8">
        <f t="shared" si="0"/>
        <v>0</v>
      </c>
      <c r="K3" s="8">
        <f t="shared" si="0"/>
        <v>0</v>
      </c>
      <c r="L3" s="8">
        <f t="shared" si="0"/>
        <v>566803.02110447304</v>
      </c>
      <c r="M3" s="8">
        <f t="shared" si="0"/>
        <v>0</v>
      </c>
      <c r="N3" s="8">
        <f t="shared" si="0"/>
        <v>0</v>
      </c>
      <c r="O3" s="8">
        <f t="shared" si="0"/>
        <v>163297737.93844599</v>
      </c>
      <c r="P3" s="8">
        <f t="shared" si="0"/>
        <v>158006829.12975201</v>
      </c>
      <c r="Q3" s="8">
        <f t="shared" si="0"/>
        <v>105951292.17630599</v>
      </c>
      <c r="R3" s="8">
        <f t="shared" si="0"/>
        <v>57346445.762139902</v>
      </c>
      <c r="S3" s="8">
        <f t="shared" si="0"/>
        <v>3817023.6399999899</v>
      </c>
      <c r="T3" s="8">
        <f t="shared" si="0"/>
        <v>105951292.17630599</v>
      </c>
      <c r="U3" s="8">
        <f t="shared" si="0"/>
        <v>46602216.111107998</v>
      </c>
      <c r="V3" s="8">
        <f t="shared" si="0"/>
        <v>59475196.180622697</v>
      </c>
      <c r="W3" s="8">
        <f t="shared" si="0"/>
        <v>55225892.845289402</v>
      </c>
      <c r="X3" s="8">
        <f t="shared" si="0"/>
        <v>39840942.3596268</v>
      </c>
      <c r="Y3" s="8">
        <f t="shared" si="0"/>
        <v>-91274198.051255599</v>
      </c>
      <c r="Z3" s="8">
        <f t="shared" si="0"/>
        <v>-3722950.8866666602</v>
      </c>
      <c r="AA3" s="8">
        <f t="shared" si="0"/>
        <v>66201.953935020298</v>
      </c>
      <c r="AB3" s="8">
        <f t="shared" si="0"/>
        <v>59286333.321562298</v>
      </c>
      <c r="AC3" s="8">
        <f t="shared" si="0"/>
        <v>4653778.0245990101</v>
      </c>
      <c r="AD3" s="8">
        <f t="shared" si="0"/>
        <v>6913179.9934108397</v>
      </c>
      <c r="AE3" s="8">
        <f t="shared" si="0"/>
        <v>693344538.86940801</v>
      </c>
      <c r="AF3" s="8">
        <f t="shared" si="0"/>
        <v>11127512.42</v>
      </c>
      <c r="AG3" s="8">
        <f t="shared" si="0"/>
        <v>11773272.703472501</v>
      </c>
      <c r="AH3" s="8">
        <f t="shared" si="0"/>
        <v>802146776.44000006</v>
      </c>
      <c r="AI3" s="8">
        <f t="shared" si="0"/>
        <v>656090992.30257595</v>
      </c>
      <c r="AJ3" s="8">
        <f t="shared" si="0"/>
        <v>0</v>
      </c>
      <c r="AK3" s="8">
        <f t="shared" si="0"/>
        <v>0</v>
      </c>
      <c r="AL3" s="8">
        <f t="shared" si="0"/>
        <v>503391650.33999997</v>
      </c>
      <c r="AM3" s="9">
        <f t="shared" si="0"/>
        <v>0.31909532030229298</v>
      </c>
      <c r="AN3" s="9">
        <f t="shared" si="0"/>
        <v>0.34951586048181998</v>
      </c>
      <c r="AO3" s="9">
        <f t="shared" si="0"/>
        <v>0.29493798697041801</v>
      </c>
      <c r="AP3" s="9">
        <f t="shared" si="0"/>
        <v>2.4157333331874701E-2</v>
      </c>
      <c r="AQ3" s="9">
        <f t="shared" si="0"/>
        <v>0.24218017982516349</v>
      </c>
    </row>
    <row r="4" spans="1:43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28"/>
      <c r="AN4" s="28"/>
      <c r="AO4" s="28"/>
      <c r="AP4" s="28"/>
      <c r="AQ4" s="11"/>
    </row>
    <row r="5" spans="1:43" s="16" customFormat="1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34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54</v>
      </c>
      <c r="AJ5" s="14" t="s">
        <v>55</v>
      </c>
      <c r="AK5" s="14" t="s">
        <v>56</v>
      </c>
      <c r="AL5" s="14" t="s">
        <v>57</v>
      </c>
      <c r="AM5" s="35" t="s">
        <v>58</v>
      </c>
      <c r="AN5" s="35" t="s">
        <v>62</v>
      </c>
      <c r="AO5" s="35" t="s">
        <v>63</v>
      </c>
      <c r="AP5" s="35" t="s">
        <v>64</v>
      </c>
      <c r="AQ5" s="15" t="s">
        <v>10</v>
      </c>
    </row>
    <row r="6" spans="1:43" x14ac:dyDescent="0.3">
      <c r="A6" s="17" t="s">
        <v>13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9"/>
      <c r="AL6" s="19"/>
      <c r="AM6" s="29"/>
      <c r="AN6" s="29"/>
      <c r="AO6" s="29"/>
      <c r="AP6" s="29"/>
      <c r="AQ6" s="20"/>
    </row>
    <row r="7" spans="1:43" x14ac:dyDescent="0.3">
      <c r="A7" s="17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9"/>
      <c r="AL7" s="19"/>
      <c r="AM7" s="29"/>
      <c r="AN7" s="29"/>
      <c r="AO7" s="29"/>
      <c r="AP7" s="29"/>
      <c r="AQ7" s="20"/>
    </row>
    <row r="8" spans="1:43" x14ac:dyDescent="0.3">
      <c r="A8" s="17" t="s">
        <v>15</v>
      </c>
      <c r="B8" s="18">
        <v>0</v>
      </c>
      <c r="C8" s="18">
        <v>22337821.169650301</v>
      </c>
      <c r="D8" s="18">
        <v>103426656.72292399</v>
      </c>
      <c r="E8" s="18">
        <v>16311928.6502611</v>
      </c>
      <c r="F8" s="18">
        <v>0</v>
      </c>
      <c r="G8" s="18">
        <v>18718113.317308001</v>
      </c>
      <c r="H8" s="18">
        <v>157139754.49301001</v>
      </c>
      <c r="I8" s="18">
        <v>0</v>
      </c>
      <c r="J8" s="18">
        <v>0</v>
      </c>
      <c r="K8" s="18">
        <v>0</v>
      </c>
      <c r="L8" s="18">
        <v>0</v>
      </c>
      <c r="M8" s="18">
        <v>2611642.9189446699</v>
      </c>
      <c r="N8" s="18">
        <v>0</v>
      </c>
      <c r="O8" s="18">
        <v>320545917.272098</v>
      </c>
      <c r="P8" s="18">
        <v>315296874.68304598</v>
      </c>
      <c r="Q8" s="18">
        <v>191358645.67594999</v>
      </c>
      <c r="R8" s="18">
        <v>129187271.596148</v>
      </c>
      <c r="S8" s="18">
        <v>23920000</v>
      </c>
      <c r="T8" s="18">
        <v>191358645.67594999</v>
      </c>
      <c r="U8" s="18">
        <v>172834912.72352999</v>
      </c>
      <c r="V8" s="18">
        <v>28159367.579020001</v>
      </c>
      <c r="W8" s="18">
        <v>129069618.08823299</v>
      </c>
      <c r="X8" s="18">
        <v>26375401.347651701</v>
      </c>
      <c r="Y8" s="18">
        <v>2224000</v>
      </c>
      <c r="Z8" s="18">
        <v>-21819401.347651701</v>
      </c>
      <c r="AA8" s="18">
        <v>127600618.08823299</v>
      </c>
      <c r="AB8" s="18">
        <v>236766000.087437</v>
      </c>
      <c r="AC8" s="18">
        <v>0</v>
      </c>
      <c r="AD8" s="18">
        <v>5717051.4008174799</v>
      </c>
      <c r="AE8" s="18">
        <v>1482203667.9015601</v>
      </c>
      <c r="AF8" s="18">
        <v>28803595</v>
      </c>
      <c r="AG8" s="18">
        <v>47788542</v>
      </c>
      <c r="AH8" s="18">
        <v>1801278856.3900001</v>
      </c>
      <c r="AI8" s="18">
        <v>930466201.863585</v>
      </c>
      <c r="AJ8" s="18">
        <v>53393267.285086803</v>
      </c>
      <c r="AK8" s="19">
        <v>0</v>
      </c>
      <c r="AL8" s="19">
        <v>170637067.51884601</v>
      </c>
      <c r="AM8" s="29">
        <v>0.62403064705706102</v>
      </c>
      <c r="AN8" s="29">
        <v>0.40935901511228401</v>
      </c>
      <c r="AO8" s="29">
        <v>0.54816563880397995</v>
      </c>
      <c r="AP8" s="29">
        <v>7.5865008253081095E-2</v>
      </c>
      <c r="AQ8" s="20">
        <f>O8/$O$23</f>
        <v>0.47538850731931598</v>
      </c>
    </row>
    <row r="9" spans="1:43" x14ac:dyDescent="0.3">
      <c r="A9" s="17" t="s">
        <v>16</v>
      </c>
      <c r="B9" s="18">
        <v>0</v>
      </c>
      <c r="C9" s="18">
        <v>0</v>
      </c>
      <c r="D9" s="18">
        <v>0</v>
      </c>
      <c r="E9" s="18">
        <v>0</v>
      </c>
      <c r="F9" s="18">
        <v>1724638.0049999999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1724638.0049999999</v>
      </c>
      <c r="P9" s="18">
        <v>1702138.0049999999</v>
      </c>
      <c r="Q9" s="18">
        <v>189257.19</v>
      </c>
      <c r="R9" s="18">
        <v>1535380.8149999999</v>
      </c>
      <c r="S9" s="18">
        <v>3759751.72</v>
      </c>
      <c r="T9" s="18">
        <v>189257.19</v>
      </c>
      <c r="U9" s="18">
        <v>0</v>
      </c>
      <c r="V9" s="18">
        <v>189257.19</v>
      </c>
      <c r="W9" s="18">
        <v>1512880.8149999999</v>
      </c>
      <c r="X9" s="18">
        <v>644534.43000000005</v>
      </c>
      <c r="Y9" s="18">
        <v>-565872.6</v>
      </c>
      <c r="Z9" s="18">
        <v>-3759751.72</v>
      </c>
      <c r="AA9" s="18">
        <v>-2168209.0749999899</v>
      </c>
      <c r="AB9" s="18">
        <v>377638.52</v>
      </c>
      <c r="AC9" s="18">
        <v>0</v>
      </c>
      <c r="AD9" s="18">
        <v>0</v>
      </c>
      <c r="AE9" s="18">
        <v>5299998.3099999996</v>
      </c>
      <c r="AF9" s="18">
        <v>8013174.1799999997</v>
      </c>
      <c r="AG9" s="18">
        <v>6332967.2999999896</v>
      </c>
      <c r="AH9" s="18">
        <v>20053278.309999999</v>
      </c>
      <c r="AI9" s="18">
        <v>15549975.6574695</v>
      </c>
      <c r="AJ9" s="18">
        <v>732115.61431588803</v>
      </c>
      <c r="AK9" s="19">
        <v>0</v>
      </c>
      <c r="AL9" s="19">
        <v>0</v>
      </c>
      <c r="AM9" s="29">
        <v>2.20884071030421</v>
      </c>
      <c r="AN9" s="29">
        <v>0.88881207666824902</v>
      </c>
      <c r="AO9" s="29">
        <v>0</v>
      </c>
      <c r="AP9" s="29">
        <v>2.20884071030421</v>
      </c>
      <c r="AQ9" s="20">
        <f t="shared" ref="AQ9:AQ17" si="1">O9/$O$23</f>
        <v>2.5577399139579651E-3</v>
      </c>
    </row>
    <row r="10" spans="1:43" x14ac:dyDescent="0.3">
      <c r="A10" s="17" t="s">
        <v>17</v>
      </c>
      <c r="B10" s="18">
        <v>10868717.5</v>
      </c>
      <c r="C10" s="18">
        <v>0</v>
      </c>
      <c r="D10" s="18">
        <v>0</v>
      </c>
      <c r="E10" s="18">
        <v>24564240</v>
      </c>
      <c r="F10" s="18">
        <v>0</v>
      </c>
      <c r="G10" s="18">
        <v>3675310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567340</v>
      </c>
      <c r="N10" s="18">
        <v>652362.5</v>
      </c>
      <c r="O10" s="18">
        <v>40327970</v>
      </c>
      <c r="P10" s="18">
        <v>40327970</v>
      </c>
      <c r="Q10" s="18">
        <v>48063652.5</v>
      </c>
      <c r="R10" s="18">
        <v>-7735682.5</v>
      </c>
      <c r="S10" s="18">
        <v>401620</v>
      </c>
      <c r="T10" s="18">
        <v>48063652.5</v>
      </c>
      <c r="U10" s="18">
        <v>5302445</v>
      </c>
      <c r="V10" s="18">
        <v>46797332.5</v>
      </c>
      <c r="W10" s="18">
        <v>-7735682.5</v>
      </c>
      <c r="X10" s="18">
        <v>14497168.710000001</v>
      </c>
      <c r="Y10" s="18">
        <v>-3967726</v>
      </c>
      <c r="Z10" s="18">
        <v>-401620</v>
      </c>
      <c r="AA10" s="18">
        <v>2392140.21</v>
      </c>
      <c r="AB10" s="18">
        <v>52117844.770000003</v>
      </c>
      <c r="AC10" s="18">
        <v>0</v>
      </c>
      <c r="AD10" s="18">
        <v>0</v>
      </c>
      <c r="AE10" s="18">
        <v>499038806.85000002</v>
      </c>
      <c r="AF10" s="18">
        <v>62218827.569999903</v>
      </c>
      <c r="AG10" s="18">
        <v>10296519.14665</v>
      </c>
      <c r="AH10" s="18">
        <v>625306735.88</v>
      </c>
      <c r="AI10" s="18">
        <v>97774810</v>
      </c>
      <c r="AJ10" s="18">
        <v>243715966.66960001</v>
      </c>
      <c r="AK10" s="19">
        <v>0</v>
      </c>
      <c r="AL10" s="19">
        <v>0</v>
      </c>
      <c r="AM10" s="29">
        <v>0.14144190744041901</v>
      </c>
      <c r="AN10" s="29">
        <v>-0.19181928820121599</v>
      </c>
      <c r="AO10" s="29">
        <v>0.13148306249979799</v>
      </c>
      <c r="AP10" s="29">
        <v>9.9588449406206106E-3</v>
      </c>
      <c r="AQ10" s="20">
        <f t="shared" si="1"/>
        <v>5.9808758834523891E-2</v>
      </c>
    </row>
    <row r="11" spans="1:43" x14ac:dyDescent="0.3">
      <c r="A11" s="17" t="s">
        <v>18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9"/>
      <c r="AL11" s="19"/>
      <c r="AM11" s="29"/>
      <c r="AN11" s="29"/>
      <c r="AO11" s="29"/>
      <c r="AP11" s="29"/>
      <c r="AQ11" s="20"/>
    </row>
    <row r="12" spans="1:43" x14ac:dyDescent="0.3">
      <c r="A12" s="17" t="s">
        <v>19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9"/>
      <c r="AL12" s="19"/>
      <c r="AM12" s="29"/>
      <c r="AN12" s="29"/>
      <c r="AO12" s="29"/>
      <c r="AP12" s="29"/>
      <c r="AQ12" s="20"/>
    </row>
    <row r="13" spans="1:43" x14ac:dyDescent="0.3">
      <c r="A13" s="17" t="s">
        <v>29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19"/>
      <c r="AM13" s="29"/>
      <c r="AN13" s="29"/>
      <c r="AO13" s="29"/>
      <c r="AP13" s="29"/>
      <c r="AQ13" s="20"/>
    </row>
    <row r="14" spans="1:43" x14ac:dyDescent="0.3">
      <c r="A14" s="17" t="s">
        <v>20</v>
      </c>
      <c r="B14" s="18">
        <v>0</v>
      </c>
      <c r="C14" s="18">
        <v>6665990.2197924498</v>
      </c>
      <c r="D14" s="18">
        <v>0</v>
      </c>
      <c r="E14" s="18">
        <v>4805337.1199999899</v>
      </c>
      <c r="F14" s="18">
        <v>5517670.4789064303</v>
      </c>
      <c r="G14" s="18">
        <v>4622065.3067591405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21611063.125457998</v>
      </c>
      <c r="P14" s="18">
        <v>19724451.822854798</v>
      </c>
      <c r="Q14" s="18">
        <v>21485127.955606099</v>
      </c>
      <c r="R14" s="18">
        <v>125935.169851884</v>
      </c>
      <c r="S14" s="18">
        <v>2054697.3476855201</v>
      </c>
      <c r="T14" s="18">
        <v>21485127.955606099</v>
      </c>
      <c r="U14" s="18">
        <v>4647410.5587652596</v>
      </c>
      <c r="V14" s="18">
        <v>14996070.792592701</v>
      </c>
      <c r="W14" s="18">
        <v>-799564.28458171606</v>
      </c>
      <c r="X14" s="18">
        <v>31187396.91</v>
      </c>
      <c r="Y14" s="18">
        <v>-12241644.4934706</v>
      </c>
      <c r="Z14" s="18">
        <v>-2054697.3476855201</v>
      </c>
      <c r="AA14" s="18">
        <v>16046216.734262099</v>
      </c>
      <c r="AB14" s="18">
        <v>31405427.629999999</v>
      </c>
      <c r="AC14" s="18">
        <v>4902267.7889630599</v>
      </c>
      <c r="AD14" s="18">
        <v>922932.20519394195</v>
      </c>
      <c r="AE14" s="18">
        <v>274962562.65916002</v>
      </c>
      <c r="AF14" s="18">
        <v>2730312.98</v>
      </c>
      <c r="AG14" s="18">
        <v>7294212.6999999899</v>
      </c>
      <c r="AH14" s="18">
        <v>322227386.49000001</v>
      </c>
      <c r="AI14" s="18">
        <v>230359612.75850901</v>
      </c>
      <c r="AJ14" s="18">
        <v>0</v>
      </c>
      <c r="AK14" s="19">
        <v>348975.43869342399</v>
      </c>
      <c r="AL14" s="19">
        <v>2552764.0343896602</v>
      </c>
      <c r="AM14" s="29">
        <v>0.33978677666899798</v>
      </c>
      <c r="AN14" s="29">
        <v>-4.0536704987423497E-2</v>
      </c>
      <c r="AO14" s="29">
        <v>0.23561671576496099</v>
      </c>
      <c r="AP14" s="29">
        <v>0.10417006090403599</v>
      </c>
      <c r="AQ14" s="20">
        <f t="shared" si="1"/>
        <v>3.2050481654003156E-2</v>
      </c>
    </row>
    <row r="15" spans="1:43" x14ac:dyDescent="0.3">
      <c r="A15" s="17" t="s">
        <v>11</v>
      </c>
      <c r="B15" s="18">
        <v>0</v>
      </c>
      <c r="C15" s="18">
        <v>0</v>
      </c>
      <c r="D15" s="18">
        <v>12729695.0233295</v>
      </c>
      <c r="E15" s="18">
        <v>0</v>
      </c>
      <c r="F15" s="18">
        <v>3446576.2480174201</v>
      </c>
      <c r="G15" s="18">
        <v>0</v>
      </c>
      <c r="H15" s="18">
        <v>27834779.070662599</v>
      </c>
      <c r="I15" s="18">
        <v>14839784.705429699</v>
      </c>
      <c r="J15" s="18">
        <v>0</v>
      </c>
      <c r="K15" s="18">
        <v>0</v>
      </c>
      <c r="L15" s="18">
        <v>0</v>
      </c>
      <c r="M15" s="18">
        <v>18043651.4525606</v>
      </c>
      <c r="N15" s="18">
        <v>0</v>
      </c>
      <c r="O15" s="18">
        <v>76894486.5</v>
      </c>
      <c r="P15" s="18">
        <v>74676510</v>
      </c>
      <c r="Q15" s="18">
        <v>61345577.499999903</v>
      </c>
      <c r="R15" s="18">
        <v>15548909</v>
      </c>
      <c r="S15" s="18">
        <v>5190376.5</v>
      </c>
      <c r="T15" s="18">
        <v>61345577.499999903</v>
      </c>
      <c r="U15" s="18">
        <v>7507624.1676111901</v>
      </c>
      <c r="V15" s="18">
        <v>57319766.287508003</v>
      </c>
      <c r="W15" s="18">
        <v>13434468.5</v>
      </c>
      <c r="X15" s="18">
        <v>0</v>
      </c>
      <c r="Y15" s="18">
        <v>15758804.499999899</v>
      </c>
      <c r="Z15" s="18">
        <v>-2642417.5</v>
      </c>
      <c r="AA15" s="18">
        <v>25223312.5</v>
      </c>
      <c r="AB15" s="18">
        <v>15253659.390000001</v>
      </c>
      <c r="AC15" s="18">
        <v>0</v>
      </c>
      <c r="AD15" s="18">
        <v>0</v>
      </c>
      <c r="AE15" s="18">
        <v>322774883.81999898</v>
      </c>
      <c r="AF15" s="18">
        <v>71712842.429999903</v>
      </c>
      <c r="AG15" s="18">
        <v>25125648.362</v>
      </c>
      <c r="AH15" s="18">
        <v>434867034</v>
      </c>
      <c r="AI15" s="18">
        <v>149785449</v>
      </c>
      <c r="AJ15" s="18">
        <v>0</v>
      </c>
      <c r="AK15" s="19">
        <v>67087538.762549996</v>
      </c>
      <c r="AL15" s="19">
        <v>269350219.00999898</v>
      </c>
      <c r="AM15" s="29">
        <v>0.17004009249509899</v>
      </c>
      <c r="AN15" s="29">
        <v>0.17990220083932701</v>
      </c>
      <c r="AO15" s="29">
        <v>0.100535284356636</v>
      </c>
      <c r="AP15" s="29">
        <v>6.9504808138462798E-2</v>
      </c>
      <c r="AQ15" s="20">
        <f t="shared" si="1"/>
        <v>0.11403906020518893</v>
      </c>
    </row>
    <row r="16" spans="1:43" x14ac:dyDescent="0.3">
      <c r="A16" s="17" t="s">
        <v>21</v>
      </c>
      <c r="B16" s="18">
        <v>15667800.300000001</v>
      </c>
      <c r="C16" s="18">
        <v>0</v>
      </c>
      <c r="D16" s="18">
        <v>0</v>
      </c>
      <c r="E16" s="18">
        <v>34212394.810000002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49880195.109999999</v>
      </c>
      <c r="P16" s="18">
        <v>36637865.82</v>
      </c>
      <c r="Q16" s="18">
        <v>42143017.359999999</v>
      </c>
      <c r="R16" s="18">
        <v>7737177.75</v>
      </c>
      <c r="S16" s="18">
        <v>7840000</v>
      </c>
      <c r="T16" s="18">
        <v>42143017.359999999</v>
      </c>
      <c r="U16" s="18">
        <v>27898266.91</v>
      </c>
      <c r="V16" s="18">
        <v>20612650.599999901</v>
      </c>
      <c r="W16" s="18">
        <v>-5505151.54</v>
      </c>
      <c r="X16" s="18">
        <v>46380774.180100001</v>
      </c>
      <c r="Y16" s="18">
        <v>-18240320.140000001</v>
      </c>
      <c r="Z16" s="18">
        <v>-12900000</v>
      </c>
      <c r="AA16" s="18">
        <v>9735302.5000999998</v>
      </c>
      <c r="AB16" s="18">
        <v>32489611.609999999</v>
      </c>
      <c r="AC16" s="18">
        <v>0</v>
      </c>
      <c r="AD16" s="18">
        <v>17668949</v>
      </c>
      <c r="AE16" s="18">
        <v>432709999.99999899</v>
      </c>
      <c r="AF16" s="18">
        <v>12665000.26915</v>
      </c>
      <c r="AG16" s="18">
        <v>14620344.27</v>
      </c>
      <c r="AH16" s="18">
        <v>510153905.14999998</v>
      </c>
      <c r="AI16" s="18">
        <v>360057264.27322799</v>
      </c>
      <c r="AJ16" s="18">
        <v>78973529.900000006</v>
      </c>
      <c r="AK16" s="19">
        <v>0</v>
      </c>
      <c r="AL16" s="19">
        <v>0</v>
      </c>
      <c r="AM16" s="29">
        <v>0.97544619781021902</v>
      </c>
      <c r="AN16" s="29">
        <v>-0.150258521253572</v>
      </c>
      <c r="AO16" s="29">
        <v>0.76145993456777095</v>
      </c>
      <c r="AP16" s="29">
        <v>0.21398626324244699</v>
      </c>
      <c r="AQ16" s="20">
        <f t="shared" si="1"/>
        <v>7.3975272247846544E-2</v>
      </c>
    </row>
    <row r="17" spans="1:43" x14ac:dyDescent="0.3">
      <c r="A17" s="17" t="s">
        <v>22</v>
      </c>
      <c r="B17" s="18">
        <v>85546199.253011301</v>
      </c>
      <c r="C17" s="18">
        <v>0</v>
      </c>
      <c r="D17" s="18">
        <v>0</v>
      </c>
      <c r="E17" s="18">
        <v>18135007.064174801</v>
      </c>
      <c r="F17" s="18">
        <v>-8453920.1674185693</v>
      </c>
      <c r="G17" s="18">
        <v>-83218.272423529997</v>
      </c>
      <c r="H17" s="18">
        <v>49228126.3785595</v>
      </c>
      <c r="I17" s="18">
        <v>18358740.661438499</v>
      </c>
      <c r="J17" s="18">
        <v>0</v>
      </c>
      <c r="K17" s="18">
        <v>0</v>
      </c>
      <c r="L17" s="18">
        <v>566803.02110447304</v>
      </c>
      <c r="M17" s="18">
        <v>0</v>
      </c>
      <c r="N17" s="18">
        <v>0</v>
      </c>
      <c r="O17" s="18">
        <v>163297737.93844599</v>
      </c>
      <c r="P17" s="18">
        <v>158006829.12975201</v>
      </c>
      <c r="Q17" s="18">
        <v>105951292.17630599</v>
      </c>
      <c r="R17" s="18">
        <v>57346445.762139902</v>
      </c>
      <c r="S17" s="18">
        <v>3817023.6399999899</v>
      </c>
      <c r="T17" s="18">
        <v>105951292.17630599</v>
      </c>
      <c r="U17" s="18">
        <v>46602216.111107998</v>
      </c>
      <c r="V17" s="18">
        <v>59475196.180622697</v>
      </c>
      <c r="W17" s="18">
        <v>55225892.845289402</v>
      </c>
      <c r="X17" s="18">
        <v>39840942.3596268</v>
      </c>
      <c r="Y17" s="18">
        <v>-91274198.051255599</v>
      </c>
      <c r="Z17" s="18">
        <v>-3722950.8866666602</v>
      </c>
      <c r="AA17" s="18">
        <v>66201.953935020298</v>
      </c>
      <c r="AB17" s="18">
        <v>59286333.321562298</v>
      </c>
      <c r="AC17" s="18">
        <v>4653778.0245990101</v>
      </c>
      <c r="AD17" s="18">
        <v>6913179.9934108397</v>
      </c>
      <c r="AE17" s="18">
        <v>693344538.86940801</v>
      </c>
      <c r="AF17" s="18">
        <v>11127512.42</v>
      </c>
      <c r="AG17" s="18">
        <v>11773272.703472501</v>
      </c>
      <c r="AH17" s="18">
        <v>802146776.44000006</v>
      </c>
      <c r="AI17" s="18">
        <v>656090992.30257595</v>
      </c>
      <c r="AJ17" s="18">
        <v>0</v>
      </c>
      <c r="AK17" s="19">
        <v>0</v>
      </c>
      <c r="AL17" s="19">
        <v>503391650.33999997</v>
      </c>
      <c r="AM17" s="29">
        <v>0.31909532030229298</v>
      </c>
      <c r="AN17" s="29">
        <v>0.34951586048181998</v>
      </c>
      <c r="AO17" s="29">
        <v>0.29493798697041801</v>
      </c>
      <c r="AP17" s="29">
        <v>2.4157333331874701E-2</v>
      </c>
      <c r="AQ17" s="20">
        <f t="shared" si="1"/>
        <v>0.24218017982516349</v>
      </c>
    </row>
    <row r="18" spans="1:43" x14ac:dyDescent="0.3">
      <c r="A18" s="17" t="s">
        <v>23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  <c r="AL18" s="19"/>
      <c r="AM18" s="29"/>
      <c r="AN18" s="29"/>
      <c r="AO18" s="29"/>
      <c r="AP18" s="29"/>
      <c r="AQ18" s="20"/>
    </row>
    <row r="19" spans="1:43" x14ac:dyDescent="0.3">
      <c r="A19" s="17" t="s">
        <v>24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9"/>
      <c r="AL19" s="19"/>
      <c r="AM19" s="29"/>
      <c r="AN19" s="29"/>
      <c r="AO19" s="29"/>
      <c r="AP19" s="29"/>
      <c r="AQ19" s="20"/>
    </row>
    <row r="20" spans="1:43" x14ac:dyDescent="0.3">
      <c r="A20" s="17" t="s">
        <v>25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9"/>
      <c r="AL20" s="19"/>
      <c r="AM20" s="29"/>
      <c r="AN20" s="29"/>
      <c r="AO20" s="29"/>
      <c r="AP20" s="29"/>
      <c r="AQ20" s="20"/>
    </row>
    <row r="21" spans="1:43" x14ac:dyDescent="0.3">
      <c r="A21" s="17" t="s">
        <v>26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9"/>
      <c r="AL21" s="19"/>
      <c r="AM21" s="36"/>
      <c r="AN21" s="29"/>
      <c r="AO21" s="29"/>
      <c r="AP21" s="29"/>
      <c r="AQ21" s="20"/>
    </row>
    <row r="22" spans="1:43" x14ac:dyDescent="0.3">
      <c r="A22" s="17" t="s">
        <v>27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9"/>
      <c r="AL22" s="19"/>
      <c r="AM22" s="36"/>
      <c r="AN22" s="29"/>
      <c r="AO22" s="29"/>
      <c r="AP22" s="29"/>
      <c r="AQ22" s="20"/>
    </row>
    <row r="23" spans="1:43" s="24" customFormat="1" x14ac:dyDescent="0.3">
      <c r="A23" s="21" t="s">
        <v>28</v>
      </c>
      <c r="B23" s="22">
        <f t="shared" ref="B23:AL23" si="2">SUM(B6:B22)</f>
        <v>112082717.0530113</v>
      </c>
      <c r="C23" s="22">
        <f t="shared" si="2"/>
        <v>29003811.389442749</v>
      </c>
      <c r="D23" s="22">
        <f t="shared" si="2"/>
        <v>116156351.74625349</v>
      </c>
      <c r="E23" s="22">
        <f t="shared" si="2"/>
        <v>98028907.644435897</v>
      </c>
      <c r="F23" s="22">
        <f t="shared" si="2"/>
        <v>2234964.5645052809</v>
      </c>
      <c r="G23" s="22">
        <f t="shared" si="2"/>
        <v>26932270.351643614</v>
      </c>
      <c r="H23" s="22">
        <f t="shared" si="2"/>
        <v>234202659.9422321</v>
      </c>
      <c r="I23" s="22">
        <f t="shared" si="2"/>
        <v>33198525.366868198</v>
      </c>
      <c r="J23" s="22">
        <f t="shared" si="2"/>
        <v>0</v>
      </c>
      <c r="K23" s="22">
        <f t="shared" si="2"/>
        <v>0</v>
      </c>
      <c r="L23" s="22">
        <f t="shared" si="2"/>
        <v>566803.02110447304</v>
      </c>
      <c r="M23" s="22">
        <f t="shared" si="2"/>
        <v>21222634.371505268</v>
      </c>
      <c r="N23" s="22">
        <f t="shared" si="2"/>
        <v>652362.5</v>
      </c>
      <c r="O23" s="22">
        <f t="shared" si="2"/>
        <v>674282007.951002</v>
      </c>
      <c r="P23" s="22">
        <f t="shared" si="2"/>
        <v>646372639.46065283</v>
      </c>
      <c r="Q23" s="22">
        <f t="shared" si="2"/>
        <v>470536570.357862</v>
      </c>
      <c r="R23" s="22">
        <f t="shared" si="2"/>
        <v>203745437.59313977</v>
      </c>
      <c r="S23" s="22">
        <f t="shared" si="2"/>
        <v>46983469.207685508</v>
      </c>
      <c r="T23" s="22">
        <f t="shared" si="2"/>
        <v>470536570.357862</v>
      </c>
      <c r="U23" s="22">
        <f t="shared" si="2"/>
        <v>264792875.47101444</v>
      </c>
      <c r="V23" s="22">
        <f t="shared" si="2"/>
        <v>227549641.12974331</v>
      </c>
      <c r="W23" s="22">
        <f t="shared" si="2"/>
        <v>185202461.92394066</v>
      </c>
      <c r="X23" s="22">
        <f t="shared" si="2"/>
        <v>158926217.9373785</v>
      </c>
      <c r="Y23" s="22">
        <f t="shared" si="2"/>
        <v>-108306956.78472629</v>
      </c>
      <c r="Z23" s="22">
        <f t="shared" si="2"/>
        <v>-47300838.802003883</v>
      </c>
      <c r="AA23" s="22">
        <f t="shared" si="2"/>
        <v>178895582.91153011</v>
      </c>
      <c r="AB23" s="22">
        <f t="shared" si="2"/>
        <v>427696515.32899928</v>
      </c>
      <c r="AC23" s="22">
        <f t="shared" si="2"/>
        <v>9556045.8135620691</v>
      </c>
      <c r="AD23" s="22">
        <f t="shared" si="2"/>
        <v>31222112.599422261</v>
      </c>
      <c r="AE23" s="22">
        <f t="shared" si="2"/>
        <v>3710334458.4101262</v>
      </c>
      <c r="AF23" s="22">
        <f t="shared" si="2"/>
        <v>197271264.84914979</v>
      </c>
      <c r="AG23" s="22">
        <f t="shared" si="2"/>
        <v>123231506.48212248</v>
      </c>
      <c r="AH23" s="22">
        <f t="shared" si="2"/>
        <v>4516033972.6599998</v>
      </c>
      <c r="AI23" s="22">
        <f t="shared" si="2"/>
        <v>2440084305.8553672</v>
      </c>
      <c r="AJ23" s="22">
        <f t="shared" si="2"/>
        <v>376814879.46900272</v>
      </c>
      <c r="AK23" s="22">
        <f t="shared" si="2"/>
        <v>67436514.201243415</v>
      </c>
      <c r="AL23" s="22">
        <f t="shared" si="2"/>
        <v>945931700.90323472</v>
      </c>
      <c r="AM23" s="30">
        <f>SUM(AM6:AM22)/COUNT(AM6:AM22)</f>
        <v>0.68266880743975711</v>
      </c>
      <c r="AN23" s="30">
        <f t="shared" ref="AN23:AP23" si="3">SUM(AN6:AN22)/COUNT(AN6:AN22)</f>
        <v>0.20642494837992406</v>
      </c>
      <c r="AO23" s="30">
        <f t="shared" si="3"/>
        <v>0.2960283747090805</v>
      </c>
      <c r="AP23" s="30">
        <f t="shared" si="3"/>
        <v>0.38664043273067605</v>
      </c>
      <c r="AQ23" s="20">
        <f>SUM(AQ7:AQ22)</f>
        <v>0.99999999999999989</v>
      </c>
    </row>
    <row r="24" spans="1:43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  <c r="R24" s="26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31"/>
      <c r="AN24" s="31"/>
      <c r="AO24" s="31"/>
      <c r="AP24" s="31"/>
      <c r="AQ24" s="25"/>
    </row>
  </sheetData>
  <mergeCells count="1">
    <mergeCell ref="B1:AQ1"/>
  </mergeCells>
  <dataValidations count="1">
    <dataValidation type="list" allowBlank="1" showInputMessage="1" showErrorMessage="1" sqref="A3" xr:uid="{21221FA7-1BF8-46BA-AE15-DBA0D883963A}">
      <formula1>$A$6:$A$23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9515-E189-48AB-A4B8-D1BB2D305E3A}">
  <sheetPr>
    <pageSetUpPr fitToPage="1"/>
  </sheetPr>
  <dimension ref="A1:AQ25"/>
  <sheetViews>
    <sheetView topLeftCell="A6" workbookViewId="0">
      <pane xSplit="1" topLeftCell="B1" activePane="topRight" state="frozen"/>
      <selection pane="topRight" activeCell="B5" sqref="B5"/>
    </sheetView>
  </sheetViews>
  <sheetFormatPr defaultRowHeight="14.4" x14ac:dyDescent="0.3"/>
  <cols>
    <col min="1" max="1" width="34.7265625" style="2" bestFit="1" customWidth="1"/>
    <col min="2" max="2" width="16.90625" style="27" customWidth="1"/>
    <col min="3" max="5" width="14.453125" style="27" bestFit="1" customWidth="1"/>
    <col min="6" max="10" width="15.54296875" style="27" customWidth="1"/>
    <col min="11" max="11" width="15.90625" style="27" bestFit="1" customWidth="1"/>
    <col min="12" max="12" width="11.81640625" style="27" bestFit="1" customWidth="1"/>
    <col min="13" max="13" width="14.453125" style="27" customWidth="1"/>
    <col min="14" max="14" width="22.453125" style="27" bestFit="1" customWidth="1"/>
    <col min="15" max="15" width="17.7265625" style="27" bestFit="1" customWidth="1"/>
    <col min="16" max="16" width="17.7265625" style="27" customWidth="1"/>
    <col min="17" max="17" width="16.36328125" style="27" bestFit="1" customWidth="1"/>
    <col min="18" max="18" width="18" style="27" customWidth="1"/>
    <col min="19" max="19" width="16.90625" style="27" bestFit="1" customWidth="1"/>
    <col min="20" max="20" width="16.90625" style="27" customWidth="1"/>
    <col min="21" max="21" width="18.54296875" style="27" bestFit="1" customWidth="1"/>
    <col min="22" max="22" width="15.81640625" style="27" bestFit="1" customWidth="1"/>
    <col min="23" max="23" width="15.81640625" style="27" customWidth="1"/>
    <col min="24" max="24" width="20.7265625" style="27" bestFit="1" customWidth="1"/>
    <col min="25" max="25" width="15.26953125" style="27" bestFit="1" customWidth="1"/>
    <col min="26" max="26" width="16.36328125" style="27" bestFit="1" customWidth="1"/>
    <col min="27" max="27" width="16.36328125" style="27" customWidth="1"/>
    <col min="28" max="28" width="15.90625" style="27" bestFit="1" customWidth="1"/>
    <col min="29" max="30" width="15.90625" style="27" customWidth="1"/>
    <col min="31" max="31" width="17.453125" style="27" bestFit="1" customWidth="1"/>
    <col min="32" max="32" width="14.453125" style="27" bestFit="1" customWidth="1"/>
    <col min="33" max="33" width="15" style="27" bestFit="1" customWidth="1"/>
    <col min="34" max="34" width="17.453125" style="27" bestFit="1" customWidth="1"/>
    <col min="35" max="35" width="18.26953125" style="27" bestFit="1" customWidth="1"/>
    <col min="36" max="36" width="15.26953125" style="27" bestFit="1" customWidth="1"/>
    <col min="37" max="38" width="15.26953125" style="27" customWidth="1"/>
    <col min="39" max="39" width="14.1796875" style="32" bestFit="1" customWidth="1"/>
    <col min="40" max="42" width="14.1796875" style="32" customWidth="1"/>
    <col min="43" max="43" width="10.6328125" style="27" bestFit="1" customWidth="1"/>
    <col min="44" max="16384" width="8.7265625" style="2"/>
  </cols>
  <sheetData>
    <row r="1" spans="1:43" ht="21" x14ac:dyDescent="0.35">
      <c r="A1" s="1" t="s">
        <v>65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</row>
    <row r="2" spans="1:43" ht="69.599999999999994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54</v>
      </c>
      <c r="AJ2" s="5" t="s">
        <v>55</v>
      </c>
      <c r="AK2" s="5" t="s">
        <v>56</v>
      </c>
      <c r="AL2" s="5" t="s">
        <v>57</v>
      </c>
      <c r="AM2" s="33" t="s">
        <v>66</v>
      </c>
      <c r="AN2" s="33" t="s">
        <v>67</v>
      </c>
      <c r="AO2" s="33" t="s">
        <v>59</v>
      </c>
      <c r="AP2" s="33" t="s">
        <v>60</v>
      </c>
      <c r="AQ2" s="6" t="s">
        <v>10</v>
      </c>
    </row>
    <row r="3" spans="1:43" x14ac:dyDescent="0.3">
      <c r="A3" s="7" t="s">
        <v>11</v>
      </c>
      <c r="B3" s="8">
        <f t="shared" ref="B3:AQ3" si="0">INDEX(B6:B24,MATCH($A$3,$A$6:$A$24,0))</f>
        <v>0</v>
      </c>
      <c r="C3" s="8">
        <f t="shared" si="0"/>
        <v>0</v>
      </c>
      <c r="D3" s="8">
        <f t="shared" si="0"/>
        <v>18585354.7340611</v>
      </c>
      <c r="E3" s="8">
        <f t="shared" si="0"/>
        <v>0</v>
      </c>
      <c r="F3" s="8">
        <f>INDEX(F6:F24,MATCH($A$3,$A$6:$A$24,0))</f>
        <v>5032001.3221054301</v>
      </c>
      <c r="G3" s="8">
        <f t="shared" ref="G3:J3" si="1">INDEX(G6:G24,MATCH($A$3,$A$6:$A$24,0))</f>
        <v>0</v>
      </c>
      <c r="H3" s="8">
        <f t="shared" si="1"/>
        <v>40638777.443167403</v>
      </c>
      <c r="I3" s="8">
        <f t="shared" si="1"/>
        <v>21666085.6699274</v>
      </c>
      <c r="J3" s="8">
        <f t="shared" si="1"/>
        <v>0</v>
      </c>
      <c r="K3" s="8">
        <f t="shared" si="0"/>
        <v>0</v>
      </c>
      <c r="L3" s="8">
        <f t="shared" si="0"/>
        <v>0</v>
      </c>
      <c r="M3" s="8">
        <f t="shared" si="0"/>
        <v>26343731.120738499</v>
      </c>
      <c r="N3" s="8">
        <f t="shared" si="0"/>
        <v>0</v>
      </c>
      <c r="O3" s="8">
        <f t="shared" si="0"/>
        <v>112265950.29000001</v>
      </c>
      <c r="P3" s="8">
        <f t="shared" si="0"/>
        <v>109027704.59999999</v>
      </c>
      <c r="Q3" s="8">
        <f t="shared" si="0"/>
        <v>89564543.149999902</v>
      </c>
      <c r="R3" s="8">
        <f t="shared" si="0"/>
        <v>22701407.140000001</v>
      </c>
      <c r="S3" s="8">
        <f t="shared" si="0"/>
        <v>7577949.6900000004</v>
      </c>
      <c r="T3" s="8">
        <f t="shared" si="0"/>
        <v>89564543.149999902</v>
      </c>
      <c r="U3" s="8">
        <f t="shared" si="0"/>
        <v>10961131.2847123</v>
      </c>
      <c r="V3" s="8">
        <f t="shared" si="0"/>
        <v>83686858.779761702</v>
      </c>
      <c r="W3" s="8">
        <f t="shared" si="0"/>
        <v>19614324.010000002</v>
      </c>
      <c r="X3" s="8">
        <f t="shared" si="0"/>
        <v>0</v>
      </c>
      <c r="Y3" s="8">
        <f t="shared" si="0"/>
        <v>23007854.57</v>
      </c>
      <c r="Z3" s="8">
        <f t="shared" si="0"/>
        <v>-3857929.55</v>
      </c>
      <c r="AA3" s="8">
        <f t="shared" si="0"/>
        <v>36826036.250000097</v>
      </c>
      <c r="AB3" s="8">
        <f t="shared" si="0"/>
        <v>9962000.3300000001</v>
      </c>
      <c r="AC3" s="8">
        <f t="shared" si="0"/>
        <v>0</v>
      </c>
      <c r="AD3" s="8">
        <f t="shared" si="0"/>
        <v>0</v>
      </c>
      <c r="AE3" s="8">
        <f t="shared" si="0"/>
        <v>370382781.34999901</v>
      </c>
      <c r="AF3" s="8">
        <f t="shared" si="0"/>
        <v>80835606.283999994</v>
      </c>
      <c r="AG3" s="8">
        <f t="shared" si="0"/>
        <v>25428622.214000002</v>
      </c>
      <c r="AH3" s="8">
        <f t="shared" si="0"/>
        <v>486609010.18000001</v>
      </c>
      <c r="AI3" s="8">
        <f t="shared" si="0"/>
        <v>157115902</v>
      </c>
      <c r="AJ3" s="8">
        <f t="shared" si="0"/>
        <v>0</v>
      </c>
      <c r="AK3" s="8">
        <f t="shared" si="0"/>
        <v>68029361.744399905</v>
      </c>
      <c r="AL3" s="8">
        <f t="shared" si="0"/>
        <v>297231249.56</v>
      </c>
      <c r="AM3" s="9">
        <f t="shared" si="0"/>
        <v>0.17004009249509899</v>
      </c>
      <c r="AN3" s="9">
        <f t="shared" si="0"/>
        <v>0.17990220083932701</v>
      </c>
      <c r="AO3" s="9">
        <f t="shared" si="0"/>
        <v>0.100535284356636</v>
      </c>
      <c r="AP3" s="9">
        <f t="shared" si="0"/>
        <v>6.9504808138462798E-2</v>
      </c>
      <c r="AQ3" s="9">
        <f t="shared" si="0"/>
        <v>7.3119966602224251E-2</v>
      </c>
    </row>
    <row r="4" spans="1:43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28"/>
      <c r="AN4" s="28"/>
      <c r="AO4" s="28"/>
      <c r="AP4" s="28"/>
      <c r="AQ4" s="11"/>
    </row>
    <row r="5" spans="1:43" s="16" customFormat="1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12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54</v>
      </c>
      <c r="AJ5" s="14" t="s">
        <v>55</v>
      </c>
      <c r="AK5" s="14" t="s">
        <v>56</v>
      </c>
      <c r="AL5" s="14" t="s">
        <v>57</v>
      </c>
      <c r="AM5" s="35" t="s">
        <v>68</v>
      </c>
      <c r="AN5" s="35" t="s">
        <v>67</v>
      </c>
      <c r="AO5" s="35" t="s">
        <v>59</v>
      </c>
      <c r="AP5" s="35" t="s">
        <v>60</v>
      </c>
      <c r="AQ5" s="15" t="s">
        <v>10</v>
      </c>
    </row>
    <row r="6" spans="1:43" x14ac:dyDescent="0.3">
      <c r="A6" s="17" t="s">
        <v>13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9"/>
      <c r="AL6" s="19"/>
      <c r="AM6" s="29"/>
      <c r="AN6" s="29"/>
      <c r="AO6" s="29"/>
      <c r="AP6" s="29"/>
      <c r="AQ6" s="20"/>
    </row>
    <row r="7" spans="1:43" x14ac:dyDescent="0.3">
      <c r="A7" s="17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9"/>
      <c r="AL7" s="19"/>
      <c r="AM7" s="29"/>
      <c r="AN7" s="29"/>
      <c r="AO7" s="29"/>
      <c r="AP7" s="29"/>
      <c r="AQ7" s="20"/>
    </row>
    <row r="8" spans="1:43" x14ac:dyDescent="0.3">
      <c r="A8" s="17" t="s">
        <v>15</v>
      </c>
      <c r="B8" s="18">
        <v>0</v>
      </c>
      <c r="C8" s="18">
        <v>34453600.646136999</v>
      </c>
      <c r="D8" s="18">
        <v>163580327.53129101</v>
      </c>
      <c r="E8" s="18">
        <v>25957459.322815899</v>
      </c>
      <c r="F8" s="18">
        <v>0</v>
      </c>
      <c r="G8" s="18">
        <v>16389019.548106899</v>
      </c>
      <c r="H8" s="18">
        <v>312293331.14647198</v>
      </c>
      <c r="I8" s="18">
        <v>0</v>
      </c>
      <c r="J8" s="18">
        <v>0</v>
      </c>
      <c r="K8" s="18">
        <v>0</v>
      </c>
      <c r="L8" s="18">
        <v>0</v>
      </c>
      <c r="M8" s="18">
        <v>3806690.5777116199</v>
      </c>
      <c r="N8" s="18">
        <v>0</v>
      </c>
      <c r="O8" s="18">
        <v>556480428.77253497</v>
      </c>
      <c r="P8" s="18">
        <v>550618037.63165498</v>
      </c>
      <c r="Q8" s="18">
        <v>269665591.25992203</v>
      </c>
      <c r="R8" s="18">
        <v>286814837.51261199</v>
      </c>
      <c r="S8" s="18">
        <v>34005525.7353995</v>
      </c>
      <c r="T8" s="18">
        <v>269665591.25992203</v>
      </c>
      <c r="U8" s="18">
        <v>238082072.632658</v>
      </c>
      <c r="V8" s="18">
        <v>41521324.024559997</v>
      </c>
      <c r="W8" s="18">
        <v>283876699.74269599</v>
      </c>
      <c r="X8" s="18">
        <v>46100538.393812299</v>
      </c>
      <c r="Y8" s="18">
        <v>-65156945.541907199</v>
      </c>
      <c r="Z8" s="18">
        <v>-34005525.7353995</v>
      </c>
      <c r="AA8" s="18">
        <v>217218602.48400199</v>
      </c>
      <c r="AB8" s="18">
        <v>359108618.349976</v>
      </c>
      <c r="AC8" s="18">
        <v>0</v>
      </c>
      <c r="AD8" s="18">
        <v>6686150.1969904201</v>
      </c>
      <c r="AE8" s="18">
        <v>1528463863.8740301</v>
      </c>
      <c r="AF8" s="18">
        <v>32978030.159154799</v>
      </c>
      <c r="AG8" s="18">
        <v>48390860.142373703</v>
      </c>
      <c r="AH8" s="18">
        <v>1975627522.72</v>
      </c>
      <c r="AI8" s="18">
        <v>1017678824.29233</v>
      </c>
      <c r="AJ8" s="18">
        <v>39975377.011282898</v>
      </c>
      <c r="AK8" s="19">
        <v>0</v>
      </c>
      <c r="AL8" s="19">
        <v>764483365.00670397</v>
      </c>
      <c r="AM8" s="29">
        <v>0.49414944620843498</v>
      </c>
      <c r="AN8" s="29">
        <v>0.51556011670761903</v>
      </c>
      <c r="AO8" s="29">
        <v>0.43239061629130099</v>
      </c>
      <c r="AP8" s="29">
        <v>6.1758829917133898E-2</v>
      </c>
      <c r="AQ8" s="20">
        <f>O8/$O$24</f>
        <v>0.3624414193398014</v>
      </c>
    </row>
    <row r="9" spans="1:43" x14ac:dyDescent="0.3">
      <c r="A9" s="17" t="s">
        <v>16</v>
      </c>
      <c r="B9" s="18">
        <v>0</v>
      </c>
      <c r="C9" s="18">
        <v>0</v>
      </c>
      <c r="D9" s="18">
        <v>0</v>
      </c>
      <c r="E9" s="18">
        <v>0</v>
      </c>
      <c r="F9" s="18">
        <v>2738843.85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2738843.85</v>
      </c>
      <c r="P9" s="18">
        <v>2702014.85</v>
      </c>
      <c r="Q9" s="18">
        <v>324314.15000000002</v>
      </c>
      <c r="R9" s="18">
        <v>2414529.7000000002</v>
      </c>
      <c r="S9" s="18">
        <v>5912747.1900000004</v>
      </c>
      <c r="T9" s="18">
        <v>324314.15000000002</v>
      </c>
      <c r="U9" s="18">
        <v>0</v>
      </c>
      <c r="V9" s="18">
        <v>324314.15000000002</v>
      </c>
      <c r="W9" s="18">
        <v>2377700.7000000002</v>
      </c>
      <c r="X9" s="18">
        <v>983881.73</v>
      </c>
      <c r="Y9" s="18">
        <v>-463761.72</v>
      </c>
      <c r="Z9" s="18">
        <v>-5912747.1900000004</v>
      </c>
      <c r="AA9" s="18">
        <v>-3014926.4799999902</v>
      </c>
      <c r="AB9" s="18">
        <v>311181.88</v>
      </c>
      <c r="AC9" s="18">
        <v>0</v>
      </c>
      <c r="AD9" s="18">
        <v>0</v>
      </c>
      <c r="AE9" s="18">
        <v>5559228.2699999996</v>
      </c>
      <c r="AF9" s="18">
        <v>7943896.9199999999</v>
      </c>
      <c r="AG9" s="18">
        <v>6157075.7599999998</v>
      </c>
      <c r="AH9" s="18">
        <v>20000882.829999998</v>
      </c>
      <c r="AI9" s="18">
        <v>15242018.787469501</v>
      </c>
      <c r="AJ9" s="18">
        <v>739155.18753046403</v>
      </c>
      <c r="AK9" s="19">
        <v>0</v>
      </c>
      <c r="AL9" s="19">
        <v>0</v>
      </c>
      <c r="AM9" s="29">
        <v>2.1882733879127199</v>
      </c>
      <c r="AN9" s="29">
        <v>0.879973217023585</v>
      </c>
      <c r="AO9" s="29">
        <v>0</v>
      </c>
      <c r="AP9" s="29">
        <v>2.1882733879127199</v>
      </c>
      <c r="AQ9" s="20">
        <f>O9/$O$24</f>
        <v>1.7838371324822397E-3</v>
      </c>
    </row>
    <row r="10" spans="1:43" x14ac:dyDescent="0.3">
      <c r="A10" s="17" t="s">
        <v>17</v>
      </c>
      <c r="B10" s="18">
        <v>12172965</v>
      </c>
      <c r="C10" s="18">
        <v>0</v>
      </c>
      <c r="D10" s="18">
        <v>0</v>
      </c>
      <c r="E10" s="18">
        <v>51928852</v>
      </c>
      <c r="F10" s="18">
        <v>434748</v>
      </c>
      <c r="G10" s="18">
        <v>4616088</v>
      </c>
      <c r="H10" s="18">
        <v>2608492</v>
      </c>
      <c r="I10" s="18">
        <v>1304246</v>
      </c>
      <c r="J10" s="18">
        <v>0</v>
      </c>
      <c r="K10" s="18">
        <v>0</v>
      </c>
      <c r="L10" s="18">
        <v>0</v>
      </c>
      <c r="M10" s="18">
        <v>1734400</v>
      </c>
      <c r="N10" s="18">
        <v>556658</v>
      </c>
      <c r="O10" s="18">
        <v>75356449</v>
      </c>
      <c r="P10" s="18">
        <v>75356449</v>
      </c>
      <c r="Q10" s="18">
        <v>76832322</v>
      </c>
      <c r="R10" s="18">
        <v>-1475873</v>
      </c>
      <c r="S10" s="18">
        <v>17008253</v>
      </c>
      <c r="T10" s="18">
        <v>76832322</v>
      </c>
      <c r="U10" s="18">
        <v>8483900</v>
      </c>
      <c r="V10" s="18">
        <v>74875746</v>
      </c>
      <c r="W10" s="18">
        <v>-1475873</v>
      </c>
      <c r="X10" s="18">
        <v>26785009.509</v>
      </c>
      <c r="Y10" s="18">
        <v>-6352008.8966534203</v>
      </c>
      <c r="Z10" s="18">
        <v>-17008253</v>
      </c>
      <c r="AA10" s="18">
        <v>1948874.61234657</v>
      </c>
      <c r="AB10" s="18">
        <v>42576395.810000002</v>
      </c>
      <c r="AC10" s="18">
        <v>0</v>
      </c>
      <c r="AD10" s="18">
        <v>6223216.1578798201</v>
      </c>
      <c r="AE10" s="18">
        <v>532162411.97999901</v>
      </c>
      <c r="AF10" s="18">
        <v>63216464.810000002</v>
      </c>
      <c r="AG10" s="18">
        <v>11384302.5829749</v>
      </c>
      <c r="AH10" s="18">
        <v>657855430.55999994</v>
      </c>
      <c r="AI10" s="18">
        <v>72637086.289999902</v>
      </c>
      <c r="AJ10" s="18">
        <v>293017740.743999</v>
      </c>
      <c r="AK10" s="19">
        <v>0</v>
      </c>
      <c r="AL10" s="19">
        <v>0</v>
      </c>
      <c r="AM10" s="29">
        <v>0.33828760959795201</v>
      </c>
      <c r="AN10" s="29">
        <v>-1.9585224882345501E-2</v>
      </c>
      <c r="AO10" s="29">
        <v>0.11258359586450201</v>
      </c>
      <c r="AP10" s="29">
        <v>0.225704013733449</v>
      </c>
      <c r="AQ10" s="20">
        <f>O10/$O$24</f>
        <v>4.9080429283401512E-2</v>
      </c>
    </row>
    <row r="11" spans="1:43" x14ac:dyDescent="0.3">
      <c r="A11" s="17" t="s">
        <v>18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9"/>
      <c r="AL11" s="19"/>
      <c r="AM11" s="29"/>
      <c r="AN11" s="29"/>
      <c r="AO11" s="29"/>
      <c r="AP11" s="29"/>
      <c r="AQ11" s="20"/>
    </row>
    <row r="12" spans="1:43" x14ac:dyDescent="0.3">
      <c r="A12" s="17" t="s">
        <v>19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9"/>
      <c r="AL12" s="19"/>
      <c r="AM12" s="29"/>
      <c r="AN12" s="29"/>
      <c r="AO12" s="29"/>
      <c r="AP12" s="29"/>
      <c r="AQ12" s="20"/>
    </row>
    <row r="13" spans="1:43" x14ac:dyDescent="0.3">
      <c r="A13" s="17" t="s">
        <v>29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9"/>
      <c r="AL13" s="19"/>
      <c r="AM13" s="29"/>
      <c r="AN13" s="29"/>
      <c r="AO13" s="29"/>
      <c r="AP13" s="29"/>
      <c r="AQ13" s="20"/>
    </row>
    <row r="14" spans="1:43" x14ac:dyDescent="0.3">
      <c r="A14" s="17" t="s">
        <v>20</v>
      </c>
      <c r="B14" s="18">
        <v>0</v>
      </c>
      <c r="C14" s="18">
        <v>11955265.289453801</v>
      </c>
      <c r="D14" s="18">
        <v>0</v>
      </c>
      <c r="E14" s="18">
        <v>8233411.1200000001</v>
      </c>
      <c r="F14" s="18">
        <v>7785910.5368165197</v>
      </c>
      <c r="G14" s="18">
        <v>7061360.2908466496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35035947.237117</v>
      </c>
      <c r="P14" s="18">
        <v>32360452.815656099</v>
      </c>
      <c r="Q14" s="18">
        <v>33252737.850802898</v>
      </c>
      <c r="R14" s="18">
        <v>1783209.3863140601</v>
      </c>
      <c r="S14" s="18">
        <v>3778857.3895258498</v>
      </c>
      <c r="T14" s="18">
        <v>33252737.850802898</v>
      </c>
      <c r="U14" s="18">
        <v>7087484.1576805497</v>
      </c>
      <c r="V14" s="18">
        <v>20892959.703595299</v>
      </c>
      <c r="W14" s="18">
        <v>-6523.4997143987503</v>
      </c>
      <c r="X14" s="18">
        <v>49504732.729999997</v>
      </c>
      <c r="Y14" s="18">
        <v>-21989773.334832799</v>
      </c>
      <c r="Z14" s="18">
        <v>-3778857.3895258498</v>
      </c>
      <c r="AA14" s="18">
        <v>23230584.425926901</v>
      </c>
      <c r="AB14" s="18">
        <v>35857683.039999999</v>
      </c>
      <c r="AC14" s="18">
        <v>6908419.8688485799</v>
      </c>
      <c r="AD14" s="18">
        <v>2133897.79299514</v>
      </c>
      <c r="AE14" s="18">
        <v>285878352.50462902</v>
      </c>
      <c r="AF14" s="18">
        <v>1986029.3118437401</v>
      </c>
      <c r="AG14" s="18">
        <v>7798707.4699999997</v>
      </c>
      <c r="AH14" s="18">
        <v>340568707.5</v>
      </c>
      <c r="AI14" s="18">
        <v>241897436.046507</v>
      </c>
      <c r="AJ14" s="18">
        <v>0</v>
      </c>
      <c r="AK14" s="19">
        <v>539.20340296297695</v>
      </c>
      <c r="AL14" s="19">
        <v>2399126.07952687</v>
      </c>
      <c r="AM14" s="29">
        <v>0.33579077552181802</v>
      </c>
      <c r="AN14" s="29">
        <v>-2.0158864128262899E-4</v>
      </c>
      <c r="AO14" s="29">
        <v>0.219016841267795</v>
      </c>
      <c r="AP14" s="29">
        <v>0.11677393425402301</v>
      </c>
      <c r="AQ14" s="20">
        <f>O14/$O$24</f>
        <v>2.2819272319324756E-2</v>
      </c>
    </row>
    <row r="15" spans="1:43" x14ac:dyDescent="0.3">
      <c r="A15" s="17" t="s">
        <v>11</v>
      </c>
      <c r="B15" s="18">
        <v>0</v>
      </c>
      <c r="C15" s="18">
        <v>0</v>
      </c>
      <c r="D15" s="18">
        <v>18585354.7340611</v>
      </c>
      <c r="E15" s="18">
        <v>0</v>
      </c>
      <c r="F15" s="18">
        <v>5032001.3221054301</v>
      </c>
      <c r="G15" s="18">
        <v>0</v>
      </c>
      <c r="H15" s="18">
        <v>40638777.443167403</v>
      </c>
      <c r="I15" s="18">
        <v>21666085.6699274</v>
      </c>
      <c r="J15" s="18">
        <v>0</v>
      </c>
      <c r="K15" s="18">
        <v>0</v>
      </c>
      <c r="L15" s="18">
        <v>0</v>
      </c>
      <c r="M15" s="18">
        <v>26343731.120738499</v>
      </c>
      <c r="N15" s="18">
        <v>0</v>
      </c>
      <c r="O15" s="18">
        <v>112265950.29000001</v>
      </c>
      <c r="P15" s="18">
        <v>109027704.59999999</v>
      </c>
      <c r="Q15" s="18">
        <v>89564543.149999902</v>
      </c>
      <c r="R15" s="18">
        <v>22701407.140000001</v>
      </c>
      <c r="S15" s="18">
        <v>7577949.6900000004</v>
      </c>
      <c r="T15" s="18">
        <v>89564543.149999902</v>
      </c>
      <c r="U15" s="18">
        <v>10961131.2847123</v>
      </c>
      <c r="V15" s="18">
        <v>83686858.779761702</v>
      </c>
      <c r="W15" s="18">
        <v>19614324.010000002</v>
      </c>
      <c r="X15" s="18">
        <v>0</v>
      </c>
      <c r="Y15" s="18">
        <v>23007854.57</v>
      </c>
      <c r="Z15" s="18">
        <v>-3857929.55</v>
      </c>
      <c r="AA15" s="18">
        <v>36826036.250000097</v>
      </c>
      <c r="AB15" s="18">
        <v>9962000.3300000001</v>
      </c>
      <c r="AC15" s="18">
        <v>0</v>
      </c>
      <c r="AD15" s="18">
        <v>0</v>
      </c>
      <c r="AE15" s="18">
        <v>370382781.34999901</v>
      </c>
      <c r="AF15" s="18">
        <v>80835606.283999994</v>
      </c>
      <c r="AG15" s="18">
        <v>25428622.214000002</v>
      </c>
      <c r="AH15" s="18">
        <v>486609010.18000001</v>
      </c>
      <c r="AI15" s="18">
        <v>157115902</v>
      </c>
      <c r="AJ15" s="18">
        <v>0</v>
      </c>
      <c r="AK15" s="19">
        <v>68029361.744399905</v>
      </c>
      <c r="AL15" s="19">
        <v>297231249.56</v>
      </c>
      <c r="AM15" s="29">
        <v>0.17004009249509899</v>
      </c>
      <c r="AN15" s="29">
        <v>0.17990220083932701</v>
      </c>
      <c r="AO15" s="29">
        <v>0.100535284356636</v>
      </c>
      <c r="AP15" s="29">
        <v>6.9504808138462798E-2</v>
      </c>
      <c r="AQ15" s="20">
        <f>O15/$O$24</f>
        <v>7.3119966602224251E-2</v>
      </c>
    </row>
    <row r="16" spans="1:43" x14ac:dyDescent="0.3">
      <c r="A16" s="17" t="s">
        <v>21</v>
      </c>
      <c r="B16" s="18">
        <v>40607897.854999997</v>
      </c>
      <c r="C16" s="18">
        <v>0</v>
      </c>
      <c r="D16" s="18">
        <v>0</v>
      </c>
      <c r="E16" s="18">
        <v>34212394.810000002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74820292.664999902</v>
      </c>
      <c r="P16" s="18">
        <v>61245963.374999903</v>
      </c>
      <c r="Q16" s="18">
        <v>63214526.039999999</v>
      </c>
      <c r="R16" s="18">
        <v>11605766.624999899</v>
      </c>
      <c r="S16" s="18">
        <v>11840000</v>
      </c>
      <c r="T16" s="18">
        <v>63214526.039999999</v>
      </c>
      <c r="U16" s="18">
        <v>44469775.590000004</v>
      </c>
      <c r="V16" s="18">
        <v>21112650.599999901</v>
      </c>
      <c r="W16" s="18">
        <v>-1968562.665</v>
      </c>
      <c r="X16" s="18">
        <v>54540229.016120002</v>
      </c>
      <c r="Y16" s="18">
        <v>-21622219.7999999</v>
      </c>
      <c r="Z16" s="18">
        <v>-16915000</v>
      </c>
      <c r="AA16" s="18">
        <v>14034446.551119899</v>
      </c>
      <c r="AB16" s="18">
        <v>42252449.058999904</v>
      </c>
      <c r="AC16" s="18">
        <v>0</v>
      </c>
      <c r="AD16" s="18">
        <v>17200128</v>
      </c>
      <c r="AE16" s="18">
        <v>443874599.31999999</v>
      </c>
      <c r="AF16" s="18">
        <v>12676000.26915</v>
      </c>
      <c r="AG16" s="18">
        <v>14320344.7299999</v>
      </c>
      <c r="AH16" s="18">
        <v>530323521.38</v>
      </c>
      <c r="AI16" s="18">
        <v>375464736.45174301</v>
      </c>
      <c r="AJ16" s="18">
        <v>76136529.900000006</v>
      </c>
      <c r="AK16" s="19">
        <v>0</v>
      </c>
      <c r="AL16" s="19">
        <v>0</v>
      </c>
      <c r="AM16" s="29">
        <v>0.91940386740630597</v>
      </c>
      <c r="AN16" s="29">
        <v>-3.2141916895759903E-2</v>
      </c>
      <c r="AO16" s="29">
        <v>0.72608500445520197</v>
      </c>
      <c r="AP16" s="29">
        <v>0.19331886295110401</v>
      </c>
      <c r="AQ16" s="20">
        <f>O16/$O$24</f>
        <v>4.8731225155101622E-2</v>
      </c>
    </row>
    <row r="17" spans="1:43" x14ac:dyDescent="0.3">
      <c r="A17" s="17" t="s">
        <v>22</v>
      </c>
      <c r="B17" s="18">
        <v>296849256.32300001</v>
      </c>
      <c r="C17" s="18">
        <v>0</v>
      </c>
      <c r="D17" s="18">
        <v>0</v>
      </c>
      <c r="E17" s="18">
        <v>18135007.059999999</v>
      </c>
      <c r="F17" s="18">
        <v>13468595.5529</v>
      </c>
      <c r="G17" s="18">
        <v>12376411.1744</v>
      </c>
      <c r="H17" s="18">
        <v>-52092342.777999997</v>
      </c>
      <c r="I17" s="18">
        <v>-64943600.339999899</v>
      </c>
      <c r="J17" s="18">
        <v>0</v>
      </c>
      <c r="K17" s="18">
        <v>0</v>
      </c>
      <c r="L17" s="18">
        <v>-752772.30339999998</v>
      </c>
      <c r="M17" s="18">
        <v>0</v>
      </c>
      <c r="N17" s="18">
        <v>0</v>
      </c>
      <c r="O17" s="18">
        <v>223040554.68889999</v>
      </c>
      <c r="P17" s="18">
        <v>219339747.59889999</v>
      </c>
      <c r="Q17" s="18">
        <v>187661741.24709901</v>
      </c>
      <c r="R17" s="18">
        <v>35378813.441799998</v>
      </c>
      <c r="S17" s="18">
        <v>5725535.46</v>
      </c>
      <c r="T17" s="18">
        <v>187661741.24709901</v>
      </c>
      <c r="U17" s="18">
        <v>85029040.987899899</v>
      </c>
      <c r="V17" s="18">
        <v>121637588.414</v>
      </c>
      <c r="W17" s="18">
        <v>32276482.713799998</v>
      </c>
      <c r="X17" s="18">
        <v>96559638.531963199</v>
      </c>
      <c r="Y17" s="18">
        <v>-91274198.051255599</v>
      </c>
      <c r="Z17" s="18">
        <v>-5449669.1299999999</v>
      </c>
      <c r="AA17" s="18">
        <v>30506641.361283399</v>
      </c>
      <c r="AB17" s="18">
        <v>57294817.775470503</v>
      </c>
      <c r="AC17" s="18">
        <v>4653778.0245990101</v>
      </c>
      <c r="AD17" s="18">
        <v>8878901.1934108399</v>
      </c>
      <c r="AE17" s="18">
        <v>787789252.89908397</v>
      </c>
      <c r="AF17" s="18">
        <v>3968691.8799999901</v>
      </c>
      <c r="AG17" s="18">
        <v>15554891.462038999</v>
      </c>
      <c r="AH17" s="18">
        <v>896699335.84000003</v>
      </c>
      <c r="AI17" s="18">
        <v>694014322.03258002</v>
      </c>
      <c r="AJ17" s="18">
        <v>0</v>
      </c>
      <c r="AK17" s="19">
        <v>0</v>
      </c>
      <c r="AL17" s="19">
        <v>503391650.33999997</v>
      </c>
      <c r="AM17" s="29">
        <v>0.413762564429772</v>
      </c>
      <c r="AN17" s="29">
        <v>0.147152912625864</v>
      </c>
      <c r="AO17" s="29">
        <v>0.387659062795084</v>
      </c>
      <c r="AP17" s="29">
        <v>2.6103501634688199E-2</v>
      </c>
      <c r="AQ17" s="20">
        <f>O17/$O$24</f>
        <v>0.14526860430670246</v>
      </c>
    </row>
    <row r="18" spans="1:43" x14ac:dyDescent="0.3">
      <c r="A18" s="17" t="s">
        <v>23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9"/>
      <c r="AL18" s="19"/>
      <c r="AM18" s="29"/>
      <c r="AN18" s="29"/>
      <c r="AO18" s="29"/>
      <c r="AP18" s="29"/>
      <c r="AQ18" s="20"/>
    </row>
    <row r="19" spans="1:43" x14ac:dyDescent="0.3">
      <c r="A19" s="17" t="s">
        <v>69</v>
      </c>
      <c r="B19" s="18">
        <v>168720054.004522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168720054.004522</v>
      </c>
      <c r="P19" s="18">
        <v>136911447.31701401</v>
      </c>
      <c r="Q19" s="18">
        <v>150930663.997495</v>
      </c>
      <c r="R19" s="18">
        <v>17789390.007027298</v>
      </c>
      <c r="S19" s="18">
        <v>4121194.8566701398</v>
      </c>
      <c r="T19" s="18">
        <v>150930663.997495</v>
      </c>
      <c r="U19" s="18">
        <v>115651447.48</v>
      </c>
      <c r="V19" s="18">
        <v>24394823.7883837</v>
      </c>
      <c r="W19" s="18">
        <v>-5867172.1803855803</v>
      </c>
      <c r="X19" s="18">
        <v>19062638.233415</v>
      </c>
      <c r="Y19" s="18">
        <v>-4802539.8178966101</v>
      </c>
      <c r="Z19" s="18">
        <v>-2482255.9962605</v>
      </c>
      <c r="AA19" s="18">
        <v>5665136.6953723198</v>
      </c>
      <c r="AB19" s="18">
        <v>19037502</v>
      </c>
      <c r="AC19" s="18">
        <v>0</v>
      </c>
      <c r="AD19" s="18">
        <v>1878794</v>
      </c>
      <c r="AE19" s="18">
        <v>216786097</v>
      </c>
      <c r="AF19" s="18">
        <v>4215557</v>
      </c>
      <c r="AG19" s="18">
        <v>5646529</v>
      </c>
      <c r="AH19" s="18">
        <v>247867303</v>
      </c>
      <c r="AI19" s="18">
        <v>102942884.495731</v>
      </c>
      <c r="AJ19" s="18">
        <v>6924185.6115547204</v>
      </c>
      <c r="AK19" s="19">
        <v>6924186</v>
      </c>
      <c r="AL19" s="19">
        <v>0</v>
      </c>
      <c r="AM19" s="29">
        <v>0.87481832004404902</v>
      </c>
      <c r="AN19" s="29">
        <v>-4.2853773700896602E-2</v>
      </c>
      <c r="AO19" s="29">
        <v>0.84471714926957298</v>
      </c>
      <c r="AP19" s="29">
        <v>3.0101170774476101E-2</v>
      </c>
      <c r="AQ19" s="20">
        <f t="shared" ref="AQ19" si="2">O19/$O$24</f>
        <v>0.10988910423924868</v>
      </c>
    </row>
    <row r="20" spans="1:43" x14ac:dyDescent="0.3">
      <c r="A20" s="17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9"/>
      <c r="AL20" s="19"/>
      <c r="AM20" s="29"/>
      <c r="AN20" s="29"/>
      <c r="AO20" s="29"/>
      <c r="AP20" s="29"/>
      <c r="AQ20" s="20"/>
    </row>
    <row r="21" spans="1:43" x14ac:dyDescent="0.3">
      <c r="A21" s="17" t="s">
        <v>25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9"/>
      <c r="AL21" s="19"/>
      <c r="AM21" s="29"/>
      <c r="AN21" s="29"/>
      <c r="AO21" s="29"/>
      <c r="AP21" s="29"/>
      <c r="AQ21" s="20"/>
    </row>
    <row r="22" spans="1:43" x14ac:dyDescent="0.3">
      <c r="A22" s="17" t="s">
        <v>26</v>
      </c>
      <c r="B22" s="18">
        <v>14158333.905260701</v>
      </c>
      <c r="C22" s="18">
        <v>0</v>
      </c>
      <c r="D22" s="18">
        <v>0</v>
      </c>
      <c r="E22" s="18">
        <v>58063490.029284798</v>
      </c>
      <c r="F22" s="18">
        <v>88693010.108977407</v>
      </c>
      <c r="G22" s="18">
        <v>0</v>
      </c>
      <c r="H22" s="18">
        <v>0</v>
      </c>
      <c r="I22" s="18">
        <v>125993187.677991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286908021.72151399</v>
      </c>
      <c r="P22" s="18">
        <v>277679967.56701398</v>
      </c>
      <c r="Q22" s="18">
        <v>145500975.93083701</v>
      </c>
      <c r="R22" s="18">
        <v>141407045.79067701</v>
      </c>
      <c r="S22" s="18">
        <v>-21278412</v>
      </c>
      <c r="T22" s="18">
        <v>145500975.93083701</v>
      </c>
      <c r="U22" s="18">
        <v>58629664.260882102</v>
      </c>
      <c r="V22" s="18">
        <v>83858547.745444596</v>
      </c>
      <c r="W22" s="18">
        <v>132486466.636177</v>
      </c>
      <c r="X22" s="18">
        <v>142992705.5</v>
      </c>
      <c r="Y22" s="18">
        <v>-138675813.508439</v>
      </c>
      <c r="Z22" s="18">
        <v>9290192</v>
      </c>
      <c r="AA22" s="18">
        <v>133472119.627737</v>
      </c>
      <c r="AB22" s="18">
        <v>48814809.420000002</v>
      </c>
      <c r="AC22" s="18">
        <v>89204401.526301295</v>
      </c>
      <c r="AD22" s="18">
        <v>1375</v>
      </c>
      <c r="AE22" s="18">
        <v>2372092273</v>
      </c>
      <c r="AF22" s="18">
        <v>109070187</v>
      </c>
      <c r="AG22" s="18">
        <v>62023822</v>
      </c>
      <c r="AH22" s="18">
        <v>2681302291.4400001</v>
      </c>
      <c r="AI22" s="18">
        <v>1289716772.8136001</v>
      </c>
      <c r="AJ22" s="18">
        <v>0</v>
      </c>
      <c r="AK22" s="19">
        <v>0</v>
      </c>
      <c r="AL22" s="19">
        <v>632104352.83355904</v>
      </c>
      <c r="AM22" s="29">
        <v>0.13451187202356499</v>
      </c>
      <c r="AN22" s="29">
        <v>0.477119281585206</v>
      </c>
      <c r="AO22" s="29">
        <v>0.21114113767221099</v>
      </c>
      <c r="AP22" s="29">
        <v>-7.6629265648645403E-2</v>
      </c>
      <c r="AQ22" s="20">
        <f>O22/$O$24</f>
        <v>0.186866141621713</v>
      </c>
    </row>
    <row r="23" spans="1:43" x14ac:dyDescent="0.3">
      <c r="A23" s="17" t="s">
        <v>27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9"/>
      <c r="AL23" s="19"/>
      <c r="AM23" s="29"/>
      <c r="AN23" s="29"/>
      <c r="AO23" s="29"/>
      <c r="AP23" s="29"/>
      <c r="AQ23" s="20"/>
    </row>
    <row r="24" spans="1:43" s="24" customFormat="1" x14ac:dyDescent="0.3">
      <c r="A24" s="21" t="s">
        <v>28</v>
      </c>
      <c r="B24" s="22">
        <f t="shared" ref="B24:AL24" si="3">SUM(B6:B23)</f>
        <v>532508507.08778274</v>
      </c>
      <c r="C24" s="22">
        <f t="shared" si="3"/>
        <v>46408865.935590804</v>
      </c>
      <c r="D24" s="22">
        <f t="shared" si="3"/>
        <v>182165682.2653521</v>
      </c>
      <c r="E24" s="22">
        <f t="shared" si="3"/>
        <v>196530614.34210071</v>
      </c>
      <c r="F24" s="22">
        <f t="shared" si="3"/>
        <v>118153109.37079936</v>
      </c>
      <c r="G24" s="22">
        <f>SUM(G6:G23)</f>
        <v>40442879.013353549</v>
      </c>
      <c r="H24" s="22">
        <f t="shared" ref="H24:J24" si="4">SUM(H6:H23)</f>
        <v>303448257.81163937</v>
      </c>
      <c r="I24" s="22">
        <f t="shared" si="4"/>
        <v>84019919.007918507</v>
      </c>
      <c r="J24" s="22">
        <f t="shared" si="4"/>
        <v>0</v>
      </c>
      <c r="K24" s="22">
        <f t="shared" si="3"/>
        <v>0</v>
      </c>
      <c r="L24" s="22">
        <f t="shared" si="3"/>
        <v>-752772.30339999998</v>
      </c>
      <c r="M24" s="22">
        <f t="shared" si="3"/>
        <v>31884821.698450118</v>
      </c>
      <c r="N24" s="22">
        <f t="shared" si="3"/>
        <v>556658</v>
      </c>
      <c r="O24" s="22">
        <f t="shared" si="3"/>
        <v>1535366542.229588</v>
      </c>
      <c r="P24" s="22">
        <f t="shared" si="3"/>
        <v>1465241784.755239</v>
      </c>
      <c r="Q24" s="22">
        <f t="shared" si="3"/>
        <v>1016947415.626156</v>
      </c>
      <c r="R24" s="22">
        <f>SUM(R6:R23)</f>
        <v>518419126.60343021</v>
      </c>
      <c r="S24" s="23">
        <f>SUM(S6:S23)</f>
        <v>68691651.32159549</v>
      </c>
      <c r="T24" s="23">
        <f>SUM(T6:T23)</f>
        <v>1016947415.626156</v>
      </c>
      <c r="U24" s="23">
        <f>SUM(U6:U23)</f>
        <v>568394516.39383292</v>
      </c>
      <c r="V24" s="23">
        <f t="shared" si="3"/>
        <v>472304813.20574522</v>
      </c>
      <c r="W24" s="23">
        <f>SUM(W6:W22)</f>
        <v>461313542.457573</v>
      </c>
      <c r="X24" s="23">
        <f t="shared" si="3"/>
        <v>436529373.64431047</v>
      </c>
      <c r="Y24" s="23">
        <f t="shared" si="3"/>
        <v>-327329406.10098451</v>
      </c>
      <c r="Z24" s="23">
        <f t="shared" si="3"/>
        <v>-80120045.991185844</v>
      </c>
      <c r="AA24" s="23">
        <f>SUM(AA6:AA23)</f>
        <v>459887515.52778822</v>
      </c>
      <c r="AB24" s="23">
        <f t="shared" si="3"/>
        <v>615215457.66444635</v>
      </c>
      <c r="AC24" s="23">
        <f t="shared" si="3"/>
        <v>100766599.41974889</v>
      </c>
      <c r="AD24" s="23">
        <f t="shared" si="3"/>
        <v>43002462.341276221</v>
      </c>
      <c r="AE24" s="23">
        <f t="shared" si="3"/>
        <v>6542988860.1977415</v>
      </c>
      <c r="AF24" s="23">
        <f t="shared" si="3"/>
        <v>316890463.63414848</v>
      </c>
      <c r="AG24" s="23">
        <f t="shared" si="3"/>
        <v>196705155.36138749</v>
      </c>
      <c r="AH24" s="23">
        <f t="shared" si="3"/>
        <v>7836854005.4499989</v>
      </c>
      <c r="AI24" s="23">
        <f t="shared" si="3"/>
        <v>3966709983.2099605</v>
      </c>
      <c r="AJ24" s="23">
        <f t="shared" si="3"/>
        <v>416792988.45436716</v>
      </c>
      <c r="AK24" s="23">
        <f t="shared" si="3"/>
        <v>74954086.947802871</v>
      </c>
      <c r="AL24" s="23">
        <f t="shared" si="3"/>
        <v>2199609743.8197899</v>
      </c>
      <c r="AM24" s="30">
        <f>SUM(AM6:AM23)/COUNT(AM6:AM23)</f>
        <v>0.6521153261821907</v>
      </c>
      <c r="AN24" s="30">
        <f>SUM(AN6:AN23)/COUNT(AN6:AN23)</f>
        <v>0.23388058051792399</v>
      </c>
      <c r="AO24" s="30">
        <f t="shared" ref="AO24:AP24" si="5">SUM(AO6:AO23)/COUNT(AO6:AO23)</f>
        <v>0.33712541021914488</v>
      </c>
      <c r="AP24" s="30">
        <f t="shared" si="5"/>
        <v>0.31498991596304565</v>
      </c>
      <c r="AQ24" s="20">
        <f>SUM(AQ6:AQ23)</f>
        <v>1</v>
      </c>
    </row>
    <row r="25" spans="1:43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  <c r="R25" s="26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31"/>
      <c r="AN25" s="31"/>
      <c r="AO25" s="31"/>
      <c r="AP25" s="31"/>
      <c r="AQ25" s="25"/>
    </row>
  </sheetData>
  <mergeCells count="1">
    <mergeCell ref="B1:AQ1"/>
  </mergeCells>
  <dataValidations count="1">
    <dataValidation type="list" allowBlank="1" showInputMessage="1" showErrorMessage="1" sqref="A3" xr:uid="{21883969-B839-4E5C-8FE4-2E665723975F}">
      <formula1>$A$6:$A$24</formula1>
    </dataValidation>
  </dataValidations>
  <pageMargins left="0.7" right="0.7" top="0.75" bottom="0.75" header="0.3" footer="0.3"/>
  <pageSetup scale="1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3FE2-A5CA-4541-A716-7F215248ACA9}">
  <dimension ref="A1:AR22"/>
  <sheetViews>
    <sheetView topLeftCell="A5" workbookViewId="0">
      <selection activeCell="A16" sqref="A16"/>
    </sheetView>
  </sheetViews>
  <sheetFormatPr defaultRowHeight="14.4" x14ac:dyDescent="0.3"/>
  <cols>
    <col min="1" max="1" width="33.26953125" style="2" bestFit="1" customWidth="1"/>
    <col min="2" max="2" width="11" style="2" hidden="1" customWidth="1"/>
    <col min="3" max="3" width="10.08984375" style="2" hidden="1" customWidth="1"/>
    <col min="4" max="8" width="11" style="2" hidden="1" customWidth="1"/>
    <col min="9" max="9" width="11.54296875" style="2" hidden="1" customWidth="1"/>
    <col min="10" max="11" width="7.08984375" style="2" hidden="1" customWidth="1"/>
    <col min="12" max="12" width="9.7265625" style="2" hidden="1" customWidth="1"/>
    <col min="13" max="13" width="10.08984375" style="2" hidden="1" customWidth="1"/>
    <col min="14" max="14" width="9.08984375" style="2" hidden="1" customWidth="1"/>
    <col min="15" max="17" width="12.36328125" style="2" hidden="1" customWidth="1"/>
    <col min="18" max="18" width="11" style="2" hidden="1" customWidth="1"/>
    <col min="19" max="19" width="10.6328125" style="2" hidden="1" customWidth="1"/>
    <col min="20" max="20" width="12.26953125" style="2" hidden="1" customWidth="1"/>
    <col min="21" max="21" width="10.90625" style="2" hidden="1" customWidth="1"/>
    <col min="22" max="22" width="11.453125" style="2" bestFit="1" customWidth="1"/>
    <col min="23" max="24" width="10.90625" style="2" bestFit="1" customWidth="1"/>
    <col min="25" max="26" width="11.54296875" style="2" bestFit="1" customWidth="1"/>
    <col min="27" max="28" width="10.90625" style="2" bestFit="1" customWidth="1"/>
    <col min="29" max="29" width="12.36328125" style="2" customWidth="1"/>
    <col min="30" max="30" width="11.1796875" style="2" customWidth="1"/>
    <col min="31" max="31" width="12.26953125" style="2" bestFit="1" customWidth="1"/>
    <col min="32" max="33" width="10.90625" style="2" bestFit="1" customWidth="1"/>
    <col min="34" max="34" width="12.26953125" style="2" bestFit="1" customWidth="1"/>
    <col min="35" max="35" width="12.26953125" style="2" customWidth="1"/>
    <col min="36" max="36" width="12.26953125" style="2" bestFit="1" customWidth="1"/>
    <col min="37" max="37" width="10.90625" style="2" bestFit="1" customWidth="1"/>
    <col min="38" max="38" width="10.08984375" style="2" bestFit="1" customWidth="1"/>
    <col min="39" max="39" width="12.26953125" style="2" bestFit="1" customWidth="1"/>
    <col min="40" max="40" width="6.90625" style="2" bestFit="1" customWidth="1"/>
    <col min="41" max="41" width="8.7265625" style="2"/>
    <col min="42" max="43" width="7.26953125" style="2" bestFit="1" customWidth="1"/>
    <col min="44" max="44" width="7.08984375" style="2" bestFit="1" customWidth="1"/>
    <col min="45" max="16384" width="8.7265625" style="2"/>
  </cols>
  <sheetData>
    <row r="1" spans="1:44" ht="21" x14ac:dyDescent="0.35">
      <c r="A1" s="1" t="s">
        <v>70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</row>
    <row r="2" spans="1:44" ht="72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71</v>
      </c>
      <c r="AJ2" s="5" t="s">
        <v>54</v>
      </c>
      <c r="AK2" s="5" t="s">
        <v>55</v>
      </c>
      <c r="AL2" s="5" t="s">
        <v>56</v>
      </c>
      <c r="AM2" s="5" t="s">
        <v>57</v>
      </c>
      <c r="AN2" s="33" t="s">
        <v>66</v>
      </c>
      <c r="AO2" s="33" t="s">
        <v>67</v>
      </c>
      <c r="AP2" s="33" t="s">
        <v>59</v>
      </c>
      <c r="AQ2" s="33" t="s">
        <v>60</v>
      </c>
      <c r="AR2" s="6" t="s">
        <v>10</v>
      </c>
    </row>
    <row r="3" spans="1:44" x14ac:dyDescent="0.3">
      <c r="A3" s="7" t="s">
        <v>15</v>
      </c>
      <c r="B3" s="8">
        <f t="shared" ref="B3:AR3" si="0">INDEX(B6:B22,MATCH($A$3,$A$6:$A$22,0))</f>
        <v>0</v>
      </c>
      <c r="C3" s="8">
        <f t="shared" si="0"/>
        <v>0</v>
      </c>
      <c r="D3" s="8">
        <f t="shared" si="0"/>
        <v>136087792.27725399</v>
      </c>
      <c r="E3" s="8">
        <f t="shared" si="0"/>
        <v>39461140.027948201</v>
      </c>
      <c r="F3" s="8">
        <f t="shared" si="0"/>
        <v>176537498.72009301</v>
      </c>
      <c r="G3" s="8">
        <f t="shared" si="0"/>
        <v>34604315.063619301</v>
      </c>
      <c r="H3" s="8">
        <f t="shared" si="0"/>
        <v>431856398.094459</v>
      </c>
      <c r="I3" s="8">
        <f t="shared" si="0"/>
        <v>0</v>
      </c>
      <c r="J3" s="8">
        <f t="shared" si="0"/>
        <v>0</v>
      </c>
      <c r="K3" s="8">
        <f t="shared" si="0"/>
        <v>0</v>
      </c>
      <c r="L3" s="8">
        <f t="shared" si="0"/>
        <v>0</v>
      </c>
      <c r="M3" s="8">
        <f t="shared" si="0"/>
        <v>4052855.8180242698</v>
      </c>
      <c r="N3" s="8">
        <f t="shared" si="0"/>
        <v>0</v>
      </c>
      <c r="O3" s="8">
        <f t="shared" si="0"/>
        <v>822600000.00139999</v>
      </c>
      <c r="P3" s="8">
        <f t="shared" si="0"/>
        <v>814819000.00011802</v>
      </c>
      <c r="Q3" s="8">
        <f t="shared" si="0"/>
        <v>498687000</v>
      </c>
      <c r="R3" s="8">
        <f t="shared" si="0"/>
        <v>323913000.00139999</v>
      </c>
      <c r="S3" s="8">
        <f t="shared" si="0"/>
        <v>43867000</v>
      </c>
      <c r="T3" s="8">
        <f t="shared" si="0"/>
        <v>498687000</v>
      </c>
      <c r="U3" s="8">
        <f t="shared" si="0"/>
        <v>460865511.813658</v>
      </c>
      <c r="V3" s="8">
        <f t="shared" si="0"/>
        <v>47078611.1300001</v>
      </c>
      <c r="W3" s="8">
        <f t="shared" si="0"/>
        <v>318230531.23739803</v>
      </c>
      <c r="X3" s="8">
        <f t="shared" si="0"/>
        <v>37980056.869000003</v>
      </c>
      <c r="Y3" s="8">
        <f t="shared" si="0"/>
        <v>-69761744.302083403</v>
      </c>
      <c r="Z3" s="8">
        <f t="shared" si="0"/>
        <v>-2014056.8689999999</v>
      </c>
      <c r="AA3" s="8">
        <f t="shared" si="0"/>
        <v>267787786.935314</v>
      </c>
      <c r="AB3" s="8">
        <f t="shared" si="0"/>
        <v>398144971.38</v>
      </c>
      <c r="AC3" s="8">
        <f t="shared" si="0"/>
        <v>0</v>
      </c>
      <c r="AD3" s="8">
        <f t="shared" si="0"/>
        <v>-355219.34940972202</v>
      </c>
      <c r="AE3" s="8">
        <f t="shared" si="0"/>
        <v>1640746762.36408</v>
      </c>
      <c r="AF3" s="8">
        <f t="shared" si="0"/>
        <v>57209132.244898997</v>
      </c>
      <c r="AG3" s="8">
        <f t="shared" si="0"/>
        <v>46933000.854356498</v>
      </c>
      <c r="AH3" s="8">
        <f t="shared" si="0"/>
        <v>2142678647.49</v>
      </c>
      <c r="AI3" s="8">
        <f t="shared" si="0"/>
        <v>1312497631.7680011</v>
      </c>
      <c r="AJ3" s="8">
        <f t="shared" si="0"/>
        <v>1157394130.95544</v>
      </c>
      <c r="AK3" s="8">
        <f t="shared" si="0"/>
        <v>25407000</v>
      </c>
      <c r="AL3" s="8">
        <f t="shared" si="0"/>
        <v>0</v>
      </c>
      <c r="AM3" s="8">
        <f t="shared" si="0"/>
        <v>793437075.33708596</v>
      </c>
      <c r="AN3" s="9">
        <f t="shared" si="0"/>
        <v>0.61944126464108495</v>
      </c>
      <c r="AO3" s="9">
        <f t="shared" si="0"/>
        <v>0.39055364594756797</v>
      </c>
      <c r="AP3" s="9">
        <f t="shared" si="0"/>
        <v>0.56560476843764096</v>
      </c>
      <c r="AQ3" s="9">
        <f t="shared" si="0"/>
        <v>5.3836496203443399E-2</v>
      </c>
      <c r="AR3" s="9">
        <f t="shared" si="0"/>
        <v>0.40859466511273868</v>
      </c>
    </row>
    <row r="4" spans="1:44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28"/>
      <c r="AO4" s="28"/>
      <c r="AP4" s="28"/>
      <c r="AQ4" s="28"/>
      <c r="AR4" s="11"/>
    </row>
    <row r="5" spans="1:44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12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71</v>
      </c>
      <c r="AJ5" s="14" t="s">
        <v>54</v>
      </c>
      <c r="AK5" s="14" t="s">
        <v>55</v>
      </c>
      <c r="AL5" s="14" t="s">
        <v>56</v>
      </c>
      <c r="AM5" s="14" t="s">
        <v>57</v>
      </c>
      <c r="AN5" s="35" t="s">
        <v>68</v>
      </c>
      <c r="AO5" s="35" t="s">
        <v>67</v>
      </c>
      <c r="AP5" s="35" t="s">
        <v>59</v>
      </c>
      <c r="AQ5" s="35" t="s">
        <v>60</v>
      </c>
      <c r="AR5" s="15" t="s">
        <v>10</v>
      </c>
    </row>
    <row r="6" spans="1:44" x14ac:dyDescent="0.3">
      <c r="A6" s="17" t="s">
        <v>14</v>
      </c>
      <c r="B6" s="18">
        <v>8912350</v>
      </c>
      <c r="C6" s="18">
        <v>0</v>
      </c>
      <c r="D6" s="18">
        <v>0</v>
      </c>
      <c r="E6" s="18">
        <v>1069446</v>
      </c>
      <c r="F6" s="18">
        <v>359437</v>
      </c>
      <c r="G6" s="18">
        <v>4917864</v>
      </c>
      <c r="H6" s="18">
        <v>5273798</v>
      </c>
      <c r="I6" s="18">
        <v>544937</v>
      </c>
      <c r="J6" s="18">
        <v>0</v>
      </c>
      <c r="K6" s="18">
        <v>0</v>
      </c>
      <c r="L6" s="18">
        <v>0</v>
      </c>
      <c r="M6" s="18">
        <v>4534083</v>
      </c>
      <c r="N6" s="18">
        <v>0</v>
      </c>
      <c r="O6" s="18">
        <v>25611915</v>
      </c>
      <c r="P6" s="18">
        <v>25262561</v>
      </c>
      <c r="Q6" s="18">
        <v>43324026</v>
      </c>
      <c r="R6" s="18">
        <v>-17712111</v>
      </c>
      <c r="S6" s="18">
        <v>0</v>
      </c>
      <c r="T6" s="18">
        <v>43324026</v>
      </c>
      <c r="U6" s="18">
        <v>4224833</v>
      </c>
      <c r="V6" s="18">
        <v>38268179</v>
      </c>
      <c r="W6" s="18">
        <v>-17957665</v>
      </c>
      <c r="X6" s="18">
        <v>14005480</v>
      </c>
      <c r="Y6" s="18">
        <v>-1768311</v>
      </c>
      <c r="Z6" s="18">
        <v>0</v>
      </c>
      <c r="AA6" s="18">
        <v>-5720496</v>
      </c>
      <c r="AB6" s="18">
        <v>6180072</v>
      </c>
      <c r="AC6" s="18">
        <v>0</v>
      </c>
      <c r="AD6" s="18">
        <v>0</v>
      </c>
      <c r="AE6" s="18">
        <v>236595950</v>
      </c>
      <c r="AF6" s="18">
        <v>5844477</v>
      </c>
      <c r="AG6" s="18">
        <v>4671004</v>
      </c>
      <c r="AH6" s="18">
        <v>253291503</v>
      </c>
      <c r="AI6" s="18">
        <v>136407013</v>
      </c>
      <c r="AJ6" s="18">
        <v>6696405</v>
      </c>
      <c r="AK6" s="18">
        <v>83102008</v>
      </c>
      <c r="AL6" s="19">
        <v>0</v>
      </c>
      <c r="AM6" s="19">
        <v>16751990</v>
      </c>
      <c r="AN6" s="29">
        <v>0.16723692423741199</v>
      </c>
      <c r="AO6" s="29">
        <v>-0.71084103468369597</v>
      </c>
      <c r="AP6" s="29">
        <v>0.16723692423741199</v>
      </c>
      <c r="AQ6" s="29">
        <v>0</v>
      </c>
      <c r="AR6" s="20">
        <v>1.2721726030030536E-2</v>
      </c>
    </row>
    <row r="7" spans="1:44" x14ac:dyDescent="0.3">
      <c r="A7" s="17" t="s">
        <v>15</v>
      </c>
      <c r="B7" s="18">
        <v>0</v>
      </c>
      <c r="C7" s="18">
        <v>0</v>
      </c>
      <c r="D7" s="18">
        <v>136087792.27725399</v>
      </c>
      <c r="E7" s="18">
        <v>39461140.027948201</v>
      </c>
      <c r="F7" s="18">
        <v>176537498.72009301</v>
      </c>
      <c r="G7" s="18">
        <v>34604315.063619301</v>
      </c>
      <c r="H7" s="18">
        <v>431856398.094459</v>
      </c>
      <c r="I7" s="18">
        <v>0</v>
      </c>
      <c r="J7" s="18">
        <v>0</v>
      </c>
      <c r="K7" s="18">
        <v>0</v>
      </c>
      <c r="L7" s="18">
        <v>0</v>
      </c>
      <c r="M7" s="18">
        <v>4052855.8180242698</v>
      </c>
      <c r="N7" s="18">
        <v>0</v>
      </c>
      <c r="O7" s="18">
        <v>822600000.00139999</v>
      </c>
      <c r="P7" s="18">
        <v>814819000.00011802</v>
      </c>
      <c r="Q7" s="18">
        <v>498687000</v>
      </c>
      <c r="R7" s="18">
        <v>323913000.00139999</v>
      </c>
      <c r="S7" s="18">
        <v>43867000</v>
      </c>
      <c r="T7" s="18">
        <v>498687000</v>
      </c>
      <c r="U7" s="18">
        <v>460865511.813658</v>
      </c>
      <c r="V7" s="18">
        <v>47078611.1300001</v>
      </c>
      <c r="W7" s="18">
        <v>318230531.23739803</v>
      </c>
      <c r="X7" s="18">
        <v>37980056.869000003</v>
      </c>
      <c r="Y7" s="18">
        <v>-69761744.302083403</v>
      </c>
      <c r="Z7" s="18">
        <v>-2014056.8689999999</v>
      </c>
      <c r="AA7" s="18">
        <v>267787786.935314</v>
      </c>
      <c r="AB7" s="18">
        <v>398144971.38</v>
      </c>
      <c r="AC7" s="18">
        <v>0</v>
      </c>
      <c r="AD7" s="18">
        <v>-355219.34940972202</v>
      </c>
      <c r="AE7" s="18">
        <v>1640746762.36408</v>
      </c>
      <c r="AF7" s="18">
        <v>57209132.244898997</v>
      </c>
      <c r="AG7" s="18">
        <v>46933000.854356498</v>
      </c>
      <c r="AH7" s="18">
        <v>2142678647.49</v>
      </c>
      <c r="AI7" s="18">
        <v>1312497631.7680011</v>
      </c>
      <c r="AJ7" s="18">
        <v>1157394130.95544</v>
      </c>
      <c r="AK7" s="18">
        <v>25407000</v>
      </c>
      <c r="AL7" s="19">
        <v>0</v>
      </c>
      <c r="AM7" s="19">
        <v>793437075.33708596</v>
      </c>
      <c r="AN7" s="29">
        <v>0.61944126464108495</v>
      </c>
      <c r="AO7" s="29">
        <v>0.39055364594756797</v>
      </c>
      <c r="AP7" s="29">
        <v>0.56560476843764096</v>
      </c>
      <c r="AQ7" s="29">
        <v>5.3836496203443399E-2</v>
      </c>
      <c r="AR7" s="20">
        <v>0.40859466511273868</v>
      </c>
    </row>
    <row r="8" spans="1:44" x14ac:dyDescent="0.3">
      <c r="A8" s="17" t="s">
        <v>16</v>
      </c>
      <c r="B8" s="18">
        <v>0</v>
      </c>
      <c r="C8" s="18">
        <v>0</v>
      </c>
      <c r="D8" s="18">
        <v>0</v>
      </c>
      <c r="E8" s="18">
        <v>0</v>
      </c>
      <c r="F8" s="18">
        <v>3476107.63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3476107.63</v>
      </c>
      <c r="P8" s="18">
        <v>3408607.63</v>
      </c>
      <c r="Q8" s="18">
        <v>833322.27</v>
      </c>
      <c r="R8" s="18">
        <v>2642785.36</v>
      </c>
      <c r="S8" s="18">
        <v>7919798.7199999904</v>
      </c>
      <c r="T8" s="18">
        <v>833322.27</v>
      </c>
      <c r="U8" s="18">
        <v>0</v>
      </c>
      <c r="V8" s="18">
        <v>833322.27</v>
      </c>
      <c r="W8" s="18">
        <v>2575285.36</v>
      </c>
      <c r="X8" s="18">
        <v>1258568.71</v>
      </c>
      <c r="Y8" s="18">
        <v>-820870.39999999898</v>
      </c>
      <c r="Z8" s="18">
        <v>-7919798.7199999904</v>
      </c>
      <c r="AA8" s="18">
        <v>-4906815.0499999896</v>
      </c>
      <c r="AB8" s="18">
        <v>427847.18</v>
      </c>
      <c r="AC8" s="18">
        <v>0</v>
      </c>
      <c r="AD8" s="18">
        <v>0</v>
      </c>
      <c r="AE8" s="18">
        <v>5580173.0599999996</v>
      </c>
      <c r="AF8" s="18">
        <v>8263364.1399999997</v>
      </c>
      <c r="AG8" s="18">
        <v>5583815.1999999899</v>
      </c>
      <c r="AH8" s="18">
        <v>19884699.579999998</v>
      </c>
      <c r="AI8" s="18">
        <v>29189754.719999999</v>
      </c>
      <c r="AJ8" s="18">
        <v>15382849.787469501</v>
      </c>
      <c r="AK8" s="18">
        <v>655925</v>
      </c>
      <c r="AL8" s="19">
        <v>0</v>
      </c>
      <c r="AM8" s="19">
        <v>0</v>
      </c>
      <c r="AN8" s="29">
        <v>2.3234703373588301</v>
      </c>
      <c r="AO8" s="29">
        <v>0.75552414344621999</v>
      </c>
      <c r="AP8" s="29">
        <v>0</v>
      </c>
      <c r="AQ8" s="29">
        <v>2.3234703373588301</v>
      </c>
      <c r="AR8" s="20">
        <v>1.7266217274170539E-3</v>
      </c>
    </row>
    <row r="9" spans="1:44" x14ac:dyDescent="0.3">
      <c r="A9" s="17" t="s">
        <v>17</v>
      </c>
      <c r="B9" s="18">
        <v>21737435</v>
      </c>
      <c r="C9" s="18">
        <v>0</v>
      </c>
      <c r="D9" s="18">
        <v>0</v>
      </c>
      <c r="E9" s="18">
        <v>85231333</v>
      </c>
      <c r="F9" s="18">
        <v>0</v>
      </c>
      <c r="G9" s="18">
        <v>8080847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1027340</v>
      </c>
      <c r="N9" s="18">
        <v>1065928</v>
      </c>
      <c r="O9" s="18">
        <v>117142883</v>
      </c>
      <c r="P9" s="18">
        <v>117142883</v>
      </c>
      <c r="Q9" s="18">
        <v>115533199.5</v>
      </c>
      <c r="R9" s="18">
        <v>1609683.5</v>
      </c>
      <c r="S9" s="18">
        <v>27163335</v>
      </c>
      <c r="T9" s="18">
        <v>115533199.5</v>
      </c>
      <c r="U9" s="18">
        <v>36560404</v>
      </c>
      <c r="V9" s="18">
        <v>78946055.5</v>
      </c>
      <c r="W9" s="18">
        <v>1609683.5</v>
      </c>
      <c r="X9" s="18">
        <v>31971807.039999999</v>
      </c>
      <c r="Y9" s="18">
        <v>-6059712.3765984401</v>
      </c>
      <c r="Z9" s="18">
        <v>-33462862.118000001</v>
      </c>
      <c r="AA9" s="18">
        <v>-5941083.9545984399</v>
      </c>
      <c r="AB9" s="18">
        <v>40692938.499999903</v>
      </c>
      <c r="AC9" s="18">
        <v>0</v>
      </c>
      <c r="AD9" s="18">
        <v>0</v>
      </c>
      <c r="AE9" s="18">
        <v>537956982.04999995</v>
      </c>
      <c r="AF9" s="18">
        <v>59044779.729999997</v>
      </c>
      <c r="AG9" s="18">
        <v>15487032.6499999</v>
      </c>
      <c r="AH9" s="18">
        <v>653181732.92999995</v>
      </c>
      <c r="AI9" s="18">
        <v>425216073.02610093</v>
      </c>
      <c r="AJ9" s="18">
        <v>98351772.123401493</v>
      </c>
      <c r="AK9" s="18">
        <v>256390523.15099999</v>
      </c>
      <c r="AL9" s="19">
        <v>0</v>
      </c>
      <c r="AM9" s="19">
        <v>0</v>
      </c>
      <c r="AN9" s="29">
        <v>0.543983017730577</v>
      </c>
      <c r="AO9" s="29">
        <v>1.3741197576638E-2</v>
      </c>
      <c r="AP9" s="29">
        <v>0.31210094086552398</v>
      </c>
      <c r="AQ9" s="29">
        <v>0.23188207686505299</v>
      </c>
      <c r="AR9" s="20">
        <v>5.8186186542237138E-2</v>
      </c>
    </row>
    <row r="10" spans="1:44" x14ac:dyDescent="0.3">
      <c r="A10" s="17" t="s">
        <v>18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J10" s="18"/>
      <c r="AK10" s="18"/>
      <c r="AL10" s="19"/>
      <c r="AM10" s="19"/>
      <c r="AN10" s="29"/>
      <c r="AO10" s="29"/>
      <c r="AP10" s="29"/>
      <c r="AQ10" s="29"/>
      <c r="AR10" s="20"/>
    </row>
    <row r="11" spans="1:44" x14ac:dyDescent="0.3">
      <c r="A11" s="17" t="s">
        <v>19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J11" s="18"/>
      <c r="AK11" s="18"/>
      <c r="AL11" s="19"/>
      <c r="AM11" s="19"/>
      <c r="AN11" s="29"/>
      <c r="AO11" s="29"/>
      <c r="AP11" s="29"/>
      <c r="AQ11" s="29"/>
      <c r="AR11" s="20"/>
    </row>
    <row r="12" spans="1:44" x14ac:dyDescent="0.3">
      <c r="A12" s="17" t="s">
        <v>29</v>
      </c>
      <c r="B12" s="18">
        <v>11384701.16</v>
      </c>
      <c r="C12" s="18">
        <v>0</v>
      </c>
      <c r="D12" s="18">
        <v>3664096</v>
      </c>
      <c r="E12" s="18">
        <v>10786119</v>
      </c>
      <c r="F12" s="18">
        <v>0</v>
      </c>
      <c r="G12" s="18">
        <v>3628617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981851</v>
      </c>
      <c r="O12" s="18">
        <v>30445384.16</v>
      </c>
      <c r="P12" s="18">
        <v>28587183.16</v>
      </c>
      <c r="Q12" s="18">
        <v>21742730</v>
      </c>
      <c r="R12" s="18">
        <v>8702654.1600000001</v>
      </c>
      <c r="S12" s="18">
        <v>43204288.828999899</v>
      </c>
      <c r="T12" s="18">
        <v>21742730</v>
      </c>
      <c r="U12" s="18">
        <v>5776835</v>
      </c>
      <c r="V12" s="18">
        <v>12073122</v>
      </c>
      <c r="W12" s="18">
        <v>7118462.1600000001</v>
      </c>
      <c r="X12" s="18">
        <v>12549060.2199999</v>
      </c>
      <c r="Y12" s="18">
        <v>-1584192</v>
      </c>
      <c r="Z12" s="18">
        <v>-38741481.828999899</v>
      </c>
      <c r="AA12" s="18">
        <v>-20658151.4489999</v>
      </c>
      <c r="AB12" s="18">
        <v>37540870.43</v>
      </c>
      <c r="AC12" s="18">
        <v>0</v>
      </c>
      <c r="AD12" s="18">
        <v>2815206</v>
      </c>
      <c r="AE12" s="18">
        <v>132004764.222975</v>
      </c>
      <c r="AF12" s="18">
        <v>2985381</v>
      </c>
      <c r="AG12" s="18">
        <v>5891446.75</v>
      </c>
      <c r="AH12" s="18">
        <v>182784293.40000001</v>
      </c>
      <c r="AI12" s="18">
        <v>72115362.004501</v>
      </c>
      <c r="AJ12" s="18">
        <v>25735706</v>
      </c>
      <c r="AK12" s="18">
        <v>0</v>
      </c>
      <c r="AL12" s="19">
        <v>44882014</v>
      </c>
      <c r="AM12" s="19">
        <v>176553.96</v>
      </c>
      <c r="AN12" s="29">
        <v>1.7133945500980901</v>
      </c>
      <c r="AO12" s="29">
        <v>0.24900886946987999</v>
      </c>
      <c r="AP12" s="29">
        <v>0.20207779716062099</v>
      </c>
      <c r="AQ12" s="29">
        <v>1.51131675293747</v>
      </c>
      <c r="AR12" s="20">
        <v>1.5122564484637379E-2</v>
      </c>
    </row>
    <row r="13" spans="1:44" x14ac:dyDescent="0.3">
      <c r="A13" s="17" t="s">
        <v>20</v>
      </c>
      <c r="B13" s="18">
        <v>0</v>
      </c>
      <c r="C13" s="18">
        <v>16486467.4532694</v>
      </c>
      <c r="D13" s="18">
        <v>0</v>
      </c>
      <c r="E13" s="18">
        <v>14191905.949999999</v>
      </c>
      <c r="F13" s="18">
        <v>10104124.681210499</v>
      </c>
      <c r="G13" s="18">
        <v>9269155.4958110601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50051653.580291003</v>
      </c>
      <c r="P13" s="18">
        <v>46948049.8951414</v>
      </c>
      <c r="Q13" s="18">
        <v>50081646.834784903</v>
      </c>
      <c r="R13" s="18">
        <v>-29993.2544938623</v>
      </c>
      <c r="S13" s="18">
        <v>3992727.0023144698</v>
      </c>
      <c r="T13" s="18">
        <v>50081646.834784903</v>
      </c>
      <c r="U13" s="18">
        <v>10256948.724314</v>
      </c>
      <c r="V13" s="18">
        <v>28925524.946481999</v>
      </c>
      <c r="W13" s="18">
        <v>-1962427.3999698099</v>
      </c>
      <c r="X13" s="18">
        <v>60857467.439999998</v>
      </c>
      <c r="Y13" s="18">
        <v>-28855507.772862401</v>
      </c>
      <c r="Z13" s="18">
        <v>-3992727.0023144698</v>
      </c>
      <c r="AA13" s="18">
        <v>24139208.1848532</v>
      </c>
      <c r="AB13" s="18">
        <v>45095566.32</v>
      </c>
      <c r="AC13" s="18">
        <v>6407200.3037706101</v>
      </c>
      <c r="AD13" s="18">
        <v>2171240.2127323099</v>
      </c>
      <c r="AE13" s="18">
        <v>291196370.90685701</v>
      </c>
      <c r="AF13" s="18">
        <v>2910906.05</v>
      </c>
      <c r="AG13" s="18">
        <v>7071314.7299999604</v>
      </c>
      <c r="AH13" s="18">
        <v>355109077.41000003</v>
      </c>
      <c r="AI13" s="18">
        <v>263587791.04000002</v>
      </c>
      <c r="AJ13" s="18">
        <v>257440171.18351901</v>
      </c>
      <c r="AK13" s="18">
        <v>0</v>
      </c>
      <c r="AL13" s="19">
        <v>555.41255785787905</v>
      </c>
      <c r="AM13" s="19">
        <v>2300425.5859051901</v>
      </c>
      <c r="AN13" s="29">
        <v>0.30352007715879897</v>
      </c>
      <c r="AO13" s="29">
        <v>-4.1799976875565602E-2</v>
      </c>
      <c r="AP13" s="29">
        <v>0.218474436046288</v>
      </c>
      <c r="AQ13" s="29">
        <v>8.50456411125112E-2</v>
      </c>
      <c r="AR13" s="20">
        <v>2.4861218858428163E-2</v>
      </c>
    </row>
    <row r="14" spans="1:44" x14ac:dyDescent="0.3">
      <c r="A14" s="17" t="s">
        <v>11</v>
      </c>
      <c r="B14" s="18">
        <v>0</v>
      </c>
      <c r="C14" s="18">
        <v>0</v>
      </c>
      <c r="D14" s="18">
        <v>14736888.4513219</v>
      </c>
      <c r="E14" s="18">
        <v>11092791.7071117</v>
      </c>
      <c r="F14" s="18">
        <v>7928622.2938242396</v>
      </c>
      <c r="G14" s="18">
        <v>0</v>
      </c>
      <c r="H14" s="18">
        <v>57688090.4165463</v>
      </c>
      <c r="I14" s="18">
        <v>29670605.177363701</v>
      </c>
      <c r="J14" s="18">
        <v>0</v>
      </c>
      <c r="K14" s="18">
        <v>0</v>
      </c>
      <c r="L14" s="18">
        <v>0</v>
      </c>
      <c r="M14" s="18">
        <v>34886716.196708404</v>
      </c>
      <c r="N14" s="18">
        <v>0</v>
      </c>
      <c r="O14" s="18">
        <v>156003714.24287599</v>
      </c>
      <c r="P14" s="18">
        <v>154067095.24287599</v>
      </c>
      <c r="Q14" s="18">
        <v>133546165.541951</v>
      </c>
      <c r="R14" s="18">
        <v>22457548.700924799</v>
      </c>
      <c r="S14" s="18">
        <v>11918380.2968313</v>
      </c>
      <c r="T14" s="18">
        <v>133546165.541951</v>
      </c>
      <c r="U14" s="18">
        <v>23821382.788449399</v>
      </c>
      <c r="V14" s="18">
        <v>103617430.52</v>
      </c>
      <c r="W14" s="18">
        <v>20616867.700924799</v>
      </c>
      <c r="X14" s="18">
        <v>3149022</v>
      </c>
      <c r="Y14" s="18">
        <v>40204649.166565701</v>
      </c>
      <c r="Z14" s="18">
        <v>-17478842.616831299</v>
      </c>
      <c r="AA14" s="18">
        <v>44167111.250659198</v>
      </c>
      <c r="AB14" s="18">
        <v>21436399.77</v>
      </c>
      <c r="AC14" s="18">
        <v>0</v>
      </c>
      <c r="AD14" s="18">
        <v>0</v>
      </c>
      <c r="AE14" s="18">
        <v>418247345.69220001</v>
      </c>
      <c r="AF14" s="18">
        <v>82438988.640000001</v>
      </c>
      <c r="AG14" s="18">
        <v>27612082.897</v>
      </c>
      <c r="AH14" s="18">
        <v>549734817</v>
      </c>
      <c r="AI14" s="18">
        <v>341386424.52999997</v>
      </c>
      <c r="AJ14" s="18">
        <v>229014546</v>
      </c>
      <c r="AK14" s="18">
        <v>102166571</v>
      </c>
      <c r="AL14" s="19">
        <v>0</v>
      </c>
      <c r="AM14" s="19">
        <v>372251501.67624903</v>
      </c>
      <c r="AN14" s="29">
        <v>0.231975315877406</v>
      </c>
      <c r="AO14" s="29">
        <v>0.13381746224541699</v>
      </c>
      <c r="AP14" s="29">
        <v>0.154616939787802</v>
      </c>
      <c r="AQ14" s="29">
        <v>7.7358376089604303E-2</v>
      </c>
      <c r="AR14" s="20">
        <v>7.7488798173234646E-2</v>
      </c>
    </row>
    <row r="15" spans="1:44" x14ac:dyDescent="0.3">
      <c r="A15" s="17" t="s">
        <v>21</v>
      </c>
      <c r="B15" s="18">
        <v>33272134.039999899</v>
      </c>
      <c r="C15" s="18">
        <v>0</v>
      </c>
      <c r="D15" s="18">
        <v>0</v>
      </c>
      <c r="E15" s="18">
        <v>85042675.25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118314809.28999899</v>
      </c>
      <c r="P15" s="18">
        <v>99902548.489999995</v>
      </c>
      <c r="Q15" s="18">
        <v>129632197.419999</v>
      </c>
      <c r="R15" s="18">
        <v>-11317388.1299999</v>
      </c>
      <c r="S15" s="18">
        <v>16412000</v>
      </c>
      <c r="T15" s="18">
        <v>129632197.419999</v>
      </c>
      <c r="U15" s="18">
        <v>17365514.07</v>
      </c>
      <c r="V15" s="18">
        <v>97612798.149999902</v>
      </c>
      <c r="W15" s="18">
        <v>-29729648.929999899</v>
      </c>
      <c r="X15" s="18">
        <v>78209282.200100005</v>
      </c>
      <c r="Y15" s="18">
        <v>-38227574.659999996</v>
      </c>
      <c r="Z15" s="18">
        <v>-13195702.8599</v>
      </c>
      <c r="AA15" s="18">
        <v>-1475644.2498000001</v>
      </c>
      <c r="AB15" s="18">
        <v>34852830</v>
      </c>
      <c r="AC15" s="18">
        <v>0</v>
      </c>
      <c r="AD15" s="18">
        <v>27385339.798417099</v>
      </c>
      <c r="AE15" s="18">
        <v>488914633.13999999</v>
      </c>
      <c r="AF15" s="18">
        <v>31524000.329999998</v>
      </c>
      <c r="AG15" s="18">
        <v>11402078.02</v>
      </c>
      <c r="AH15" s="18">
        <v>594381651.23000002</v>
      </c>
      <c r="AI15" s="18">
        <v>547659810.81439185</v>
      </c>
      <c r="AJ15" s="18">
        <v>445346360.28893399</v>
      </c>
      <c r="AK15" s="18">
        <v>93916189.160608307</v>
      </c>
      <c r="AL15" s="19">
        <v>0</v>
      </c>
      <c r="AM15" s="19">
        <v>0</v>
      </c>
      <c r="AN15" s="29">
        <v>0.33810462876611203</v>
      </c>
      <c r="AO15" s="29">
        <v>-0.29758649182984398</v>
      </c>
      <c r="AP15" s="29">
        <v>0.17382453533443301</v>
      </c>
      <c r="AQ15" s="29">
        <v>0.16428009343167799</v>
      </c>
      <c r="AR15" s="20">
        <v>5.8768295501631908E-2</v>
      </c>
    </row>
    <row r="16" spans="1:44" x14ac:dyDescent="0.3">
      <c r="A16" s="17" t="s">
        <v>22</v>
      </c>
      <c r="B16" s="18">
        <v>458261627.494829</v>
      </c>
      <c r="C16" s="18">
        <v>0</v>
      </c>
      <c r="D16" s="18">
        <v>0</v>
      </c>
      <c r="E16" s="18">
        <v>27995953.0735799</v>
      </c>
      <c r="F16" s="18">
        <v>20792171.0655246</v>
      </c>
      <c r="G16" s="18">
        <v>19106109.267642699</v>
      </c>
      <c r="H16" s="18">
        <v>-80417657.356331393</v>
      </c>
      <c r="I16" s="18">
        <v>-100256811.675482</v>
      </c>
      <c r="J16" s="18">
        <v>0</v>
      </c>
      <c r="K16" s="18">
        <v>0</v>
      </c>
      <c r="L16" s="18">
        <v>-1162093.7345848</v>
      </c>
      <c r="M16" s="18">
        <v>0</v>
      </c>
      <c r="N16" s="18">
        <v>0</v>
      </c>
      <c r="O16" s="18">
        <v>344319298.13517702</v>
      </c>
      <c r="P16" s="18">
        <v>344319298.13517702</v>
      </c>
      <c r="Q16" s="18">
        <v>222839567.85574201</v>
      </c>
      <c r="R16" s="18">
        <v>121479730.27943499</v>
      </c>
      <c r="S16" s="18">
        <v>11117803.947739501</v>
      </c>
      <c r="T16" s="18">
        <v>222839567.85574201</v>
      </c>
      <c r="U16" s="18">
        <v>100968021.62771501</v>
      </c>
      <c r="V16" s="18">
        <v>144438964.79410499</v>
      </c>
      <c r="W16" s="18">
        <v>109125328.80177701</v>
      </c>
      <c r="X16" s="18">
        <v>128746184.705185</v>
      </c>
      <c r="Y16" s="18">
        <v>-145009524.06764799</v>
      </c>
      <c r="Z16" s="18">
        <v>-10749982.1744061</v>
      </c>
      <c r="AA16" s="18">
        <v>78006406.989125594</v>
      </c>
      <c r="AB16" s="18">
        <v>66667396.775470398</v>
      </c>
      <c r="AC16" s="18">
        <v>4653778.0245989999</v>
      </c>
      <c r="AD16" s="18">
        <v>5897163.59852421</v>
      </c>
      <c r="AE16" s="18">
        <v>789293374.84678102</v>
      </c>
      <c r="AF16" s="18">
        <v>11512643.460580399</v>
      </c>
      <c r="AG16" s="18">
        <v>15554891.682039</v>
      </c>
      <c r="AH16" s="18">
        <v>912138250.99000001</v>
      </c>
      <c r="AI16" s="18">
        <v>714759335.28304195</v>
      </c>
      <c r="AJ16" s="18">
        <v>699244184.21003902</v>
      </c>
      <c r="AK16" s="18">
        <v>1965721.19950806</v>
      </c>
      <c r="AL16" s="19">
        <v>0</v>
      </c>
      <c r="AM16" s="19">
        <v>503391650.33999997</v>
      </c>
      <c r="AN16" s="29">
        <v>0.32552873505059898</v>
      </c>
      <c r="AO16" s="29">
        <v>0.31693062048161802</v>
      </c>
      <c r="AP16" s="29">
        <v>0.29323950813839</v>
      </c>
      <c r="AQ16" s="29">
        <v>3.2289226912209597E-2</v>
      </c>
      <c r="AR16" s="20">
        <v>0.17102726515093175</v>
      </c>
    </row>
    <row r="17" spans="1:44" x14ac:dyDescent="0.3">
      <c r="A17" s="17" t="s">
        <v>23</v>
      </c>
      <c r="B17" s="18">
        <v>9525966</v>
      </c>
      <c r="C17" s="18">
        <v>0</v>
      </c>
      <c r="D17" s="18">
        <v>0</v>
      </c>
      <c r="E17" s="18">
        <v>1089342</v>
      </c>
      <c r="F17" s="18">
        <v>0</v>
      </c>
      <c r="G17" s="18">
        <v>2658889</v>
      </c>
      <c r="H17" s="18">
        <v>196844</v>
      </c>
      <c r="I17" s="18">
        <v>497261</v>
      </c>
      <c r="J17" s="18">
        <v>0</v>
      </c>
      <c r="K17" s="18">
        <v>0</v>
      </c>
      <c r="L17" s="18">
        <v>0</v>
      </c>
      <c r="M17" s="18">
        <v>6781930</v>
      </c>
      <c r="N17" s="18">
        <v>8693469</v>
      </c>
      <c r="O17" s="18">
        <v>29443701</v>
      </c>
      <c r="P17" s="18">
        <v>29443701</v>
      </c>
      <c r="Q17" s="18">
        <v>32688061</v>
      </c>
      <c r="R17" s="18">
        <v>-3244360</v>
      </c>
      <c r="S17" s="18">
        <v>14131606</v>
      </c>
      <c r="T17" s="18">
        <v>32688061</v>
      </c>
      <c r="U17" s="18">
        <v>666525</v>
      </c>
      <c r="V17" s="18">
        <v>31977319</v>
      </c>
      <c r="W17" s="18">
        <v>-3244360</v>
      </c>
      <c r="X17" s="18">
        <v>27618614</v>
      </c>
      <c r="Y17" s="18">
        <v>5462827</v>
      </c>
      <c r="Z17" s="18">
        <v>-12334475</v>
      </c>
      <c r="AA17" s="18">
        <v>16048780</v>
      </c>
      <c r="AB17" s="18">
        <v>5823139</v>
      </c>
      <c r="AC17" s="18">
        <v>0</v>
      </c>
      <c r="AD17" s="18">
        <v>0</v>
      </c>
      <c r="AE17" s="18">
        <v>114357493</v>
      </c>
      <c r="AF17" s="18">
        <v>24893438</v>
      </c>
      <c r="AG17" s="18">
        <v>2504199</v>
      </c>
      <c r="AH17" s="18">
        <v>147613332</v>
      </c>
      <c r="AI17" s="18">
        <v>100695790</v>
      </c>
      <c r="AJ17" s="18">
        <v>96943096</v>
      </c>
      <c r="AK17" s="18">
        <v>0</v>
      </c>
      <c r="AL17" s="19">
        <v>0</v>
      </c>
      <c r="AM17" s="19">
        <v>22828883</v>
      </c>
      <c r="AN17" s="29">
        <v>0.50259072390390003</v>
      </c>
      <c r="AO17" s="29">
        <v>-0.110188593478788</v>
      </c>
      <c r="AP17" s="29">
        <v>2.2637269682911101E-2</v>
      </c>
      <c r="AQ17" s="29">
        <v>0.47995345422098901</v>
      </c>
      <c r="AR17" s="20">
        <v>1.4414209144575222E-2</v>
      </c>
    </row>
    <row r="18" spans="1:44" x14ac:dyDescent="0.3">
      <c r="A18" s="17" t="s">
        <v>72</v>
      </c>
      <c r="B18" s="18">
        <v>69528469.3753701</v>
      </c>
      <c r="C18" s="18">
        <v>0</v>
      </c>
      <c r="D18" s="18">
        <v>0</v>
      </c>
      <c r="E18" s="18">
        <v>38438521.3563146</v>
      </c>
      <c r="F18" s="18">
        <v>0</v>
      </c>
      <c r="G18" s="18">
        <v>109579940.2322</v>
      </c>
      <c r="H18" s="18">
        <v>16936857.713034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234483788.676918</v>
      </c>
      <c r="P18" s="18">
        <v>195499584.676918</v>
      </c>
      <c r="Q18" s="18">
        <v>184496879</v>
      </c>
      <c r="R18" s="18">
        <v>49986909.6769187</v>
      </c>
      <c r="S18" s="18">
        <v>37549298.68</v>
      </c>
      <c r="T18" s="18">
        <v>184496879</v>
      </c>
      <c r="U18" s="18">
        <v>96270694.099999994</v>
      </c>
      <c r="V18" s="18">
        <v>88226184.899999902</v>
      </c>
      <c r="W18" s="18">
        <v>14857788.6769187</v>
      </c>
      <c r="X18" s="18">
        <v>34601330</v>
      </c>
      <c r="Y18" s="18">
        <v>7521174</v>
      </c>
      <c r="Z18" s="18">
        <v>-33064706.68</v>
      </c>
      <c r="AA18" s="18">
        <v>23220857.996918701</v>
      </c>
      <c r="AB18" s="18">
        <v>51463144</v>
      </c>
      <c r="AC18" s="18">
        <v>0</v>
      </c>
      <c r="AD18" s="18">
        <v>-6043472</v>
      </c>
      <c r="AE18" s="18">
        <v>209466444</v>
      </c>
      <c r="AF18" s="18">
        <v>9722671</v>
      </c>
      <c r="AG18" s="18">
        <v>10742096</v>
      </c>
      <c r="AH18" s="18">
        <v>276963950</v>
      </c>
      <c r="AI18" s="18">
        <v>142467122</v>
      </c>
      <c r="AJ18" s="18">
        <v>91065730</v>
      </c>
      <c r="AK18" s="18">
        <v>10286433</v>
      </c>
      <c r="AL18" s="19">
        <v>0</v>
      </c>
      <c r="AM18" s="19">
        <v>0</v>
      </c>
      <c r="AN18" s="29">
        <v>0.68450269600904701</v>
      </c>
      <c r="AO18" s="29">
        <v>7.5999080517089701E-2</v>
      </c>
      <c r="AP18" s="29">
        <v>0.49243426403742102</v>
      </c>
      <c r="AQ18" s="29">
        <v>0.19206843197162601</v>
      </c>
      <c r="AR18" s="20">
        <v>0.1029715946992547</v>
      </c>
    </row>
    <row r="19" spans="1:44" x14ac:dyDescent="0.3">
      <c r="A19" s="17" t="s">
        <v>25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9"/>
      <c r="AM19" s="19"/>
      <c r="AN19" s="29"/>
      <c r="AO19" s="29"/>
      <c r="AP19" s="29"/>
      <c r="AQ19" s="29"/>
      <c r="AR19" s="20"/>
    </row>
    <row r="20" spans="1:44" x14ac:dyDescent="0.3">
      <c r="A20" s="17" t="s">
        <v>26</v>
      </c>
      <c r="B20" s="18">
        <v>24863840</v>
      </c>
      <c r="C20" s="18">
        <v>0</v>
      </c>
      <c r="D20" s="18">
        <v>0</v>
      </c>
      <c r="E20" s="18">
        <v>46136052.208926097</v>
      </c>
      <c r="F20" s="18">
        <v>59468316</v>
      </c>
      <c r="G20" s="18">
        <v>0</v>
      </c>
      <c r="H20" s="18">
        <v>0</v>
      </c>
      <c r="I20" s="18">
        <v>214808171.68836701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345276379.89729297</v>
      </c>
      <c r="P20" s="18">
        <v>334675121.89729297</v>
      </c>
      <c r="Q20" s="18">
        <v>180095379.73188201</v>
      </c>
      <c r="R20" s="18">
        <v>165181000.16541001</v>
      </c>
      <c r="S20" s="18">
        <v>30472288</v>
      </c>
      <c r="T20" s="18">
        <v>180095379.73188201</v>
      </c>
      <c r="U20" s="18">
        <v>80001533</v>
      </c>
      <c r="V20" s="18">
        <v>104500649.73188201</v>
      </c>
      <c r="W20" s="18">
        <v>155780448.84311</v>
      </c>
      <c r="X20" s="18">
        <v>307451543</v>
      </c>
      <c r="Y20" s="18">
        <v>-193177211.07523301</v>
      </c>
      <c r="Z20" s="18">
        <v>17460142.895311799</v>
      </c>
      <c r="AA20" s="18">
        <v>226946984.66318801</v>
      </c>
      <c r="AB20" s="18">
        <v>80986925.120000005</v>
      </c>
      <c r="AC20" s="18">
        <v>61901310</v>
      </c>
      <c r="AD20" s="18">
        <v>666547.37314999895</v>
      </c>
      <c r="AE20" s="18">
        <v>2577435495</v>
      </c>
      <c r="AF20" s="18">
        <v>75569107.509999901</v>
      </c>
      <c r="AG20" s="18">
        <v>61805687</v>
      </c>
      <c r="AH20" s="18">
        <v>2858500247</v>
      </c>
      <c r="AI20" s="18">
        <v>1644983348.41696</v>
      </c>
      <c r="AJ20" s="18">
        <v>1380773885</v>
      </c>
      <c r="AK20" s="18">
        <v>0</v>
      </c>
      <c r="AL20" s="19">
        <v>304330.41999999899</v>
      </c>
      <c r="AM20" s="19">
        <v>638786398.80081797</v>
      </c>
      <c r="AN20" s="29">
        <v>0.33009271909342203</v>
      </c>
      <c r="AO20" s="29">
        <v>0.46546766894408398</v>
      </c>
      <c r="AP20" s="29">
        <v>0.23904236606075299</v>
      </c>
      <c r="AQ20" s="29">
        <v>9.1050353032668702E-2</v>
      </c>
      <c r="AR20" s="20">
        <v>0.17150265841871271</v>
      </c>
    </row>
    <row r="21" spans="1:44" x14ac:dyDescent="0.3">
      <c r="A21" s="17" t="s">
        <v>27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9"/>
      <c r="AM21" s="19"/>
      <c r="AN21" s="29"/>
      <c r="AO21" s="29"/>
      <c r="AP21" s="29"/>
      <c r="AQ21" s="29"/>
      <c r="AR21" s="20"/>
    </row>
    <row r="22" spans="1:44" x14ac:dyDescent="0.3">
      <c r="A22" s="21" t="s">
        <v>28</v>
      </c>
      <c r="B22" s="22">
        <f t="shared" ref="B22:V22" si="1">SUM(B6:B21)</f>
        <v>637486523.07019901</v>
      </c>
      <c r="C22" s="22">
        <f t="shared" si="1"/>
        <v>16486467.4532694</v>
      </c>
      <c r="D22" s="22">
        <f t="shared" si="1"/>
        <v>154488776.72857589</v>
      </c>
      <c r="E22" s="22">
        <f t="shared" si="1"/>
        <v>360535279.57388043</v>
      </c>
      <c r="F22" s="22">
        <f t="shared" si="1"/>
        <v>278666277.3906523</v>
      </c>
      <c r="G22" s="22">
        <f t="shared" si="1"/>
        <v>191845737.05927306</v>
      </c>
      <c r="H22" s="22">
        <f t="shared" si="1"/>
        <v>431534330.86770785</v>
      </c>
      <c r="I22" s="22">
        <f t="shared" si="1"/>
        <v>145264163.1902487</v>
      </c>
      <c r="J22" s="22">
        <f t="shared" si="1"/>
        <v>0</v>
      </c>
      <c r="K22" s="22">
        <f t="shared" si="1"/>
        <v>0</v>
      </c>
      <c r="L22" s="22">
        <f t="shared" si="1"/>
        <v>-1162093.7345848</v>
      </c>
      <c r="M22" s="22">
        <f t="shared" si="1"/>
        <v>51282925.014732674</v>
      </c>
      <c r="N22" s="22">
        <f t="shared" si="1"/>
        <v>10741248</v>
      </c>
      <c r="O22" s="22">
        <f t="shared" si="1"/>
        <v>2277169634.6139541</v>
      </c>
      <c r="P22" s="22">
        <f t="shared" si="1"/>
        <v>2194075634.1275234</v>
      </c>
      <c r="Q22" s="22">
        <f t="shared" si="1"/>
        <v>1613500175.1543591</v>
      </c>
      <c r="R22" s="22">
        <f t="shared" si="1"/>
        <v>663669459.45959485</v>
      </c>
      <c r="S22" s="23">
        <f t="shared" si="1"/>
        <v>247748526.47588518</v>
      </c>
      <c r="T22" s="23">
        <f t="shared" si="1"/>
        <v>1613500175.1543591</v>
      </c>
      <c r="U22" s="23">
        <f t="shared" si="1"/>
        <v>836778203.12413645</v>
      </c>
      <c r="V22" s="23">
        <f t="shared" si="1"/>
        <v>776498161.94246876</v>
      </c>
      <c r="W22" s="23">
        <f>SUM(W6:W20)</f>
        <v>577020294.95015883</v>
      </c>
      <c r="X22" s="23">
        <f t="shared" ref="X22:AM22" si="2">SUM(X6:X21)</f>
        <v>738398416.18428493</v>
      </c>
      <c r="Y22" s="23">
        <f t="shared" si="2"/>
        <v>-432075997.48785961</v>
      </c>
      <c r="Z22" s="23">
        <f t="shared" si="2"/>
        <v>-155494492.97413996</v>
      </c>
      <c r="AA22" s="23">
        <f t="shared" si="2"/>
        <v>641614945.3166604</v>
      </c>
      <c r="AB22" s="23">
        <f t="shared" si="2"/>
        <v>789312100.4754703</v>
      </c>
      <c r="AC22" s="23">
        <f t="shared" si="2"/>
        <v>72962288.328369617</v>
      </c>
      <c r="AD22" s="23">
        <f t="shared" si="2"/>
        <v>32536805.633413896</v>
      </c>
      <c r="AE22" s="23">
        <f t="shared" si="2"/>
        <v>7441795788.2828932</v>
      </c>
      <c r="AF22" s="23">
        <f t="shared" si="2"/>
        <v>371918889.10547924</v>
      </c>
      <c r="AG22" s="23">
        <f t="shared" si="2"/>
        <v>215258648.78339535</v>
      </c>
      <c r="AH22" s="23">
        <f t="shared" si="2"/>
        <v>8946262202.0299988</v>
      </c>
      <c r="AI22" s="23">
        <f t="shared" si="2"/>
        <v>5730965456.6029968</v>
      </c>
      <c r="AJ22" s="23">
        <f t="shared" si="2"/>
        <v>4503388836.5488033</v>
      </c>
      <c r="AK22" s="23">
        <f t="shared" si="2"/>
        <v>573890370.51111639</v>
      </c>
      <c r="AL22" s="23">
        <f t="shared" si="2"/>
        <v>45186899.832557857</v>
      </c>
      <c r="AM22" s="23">
        <f t="shared" si="2"/>
        <v>2349924478.700058</v>
      </c>
      <c r="AN22" s="30">
        <f>SUM(AN6:AN21)/COUNT(AN6:AN21)</f>
        <v>0.67365341582710669</v>
      </c>
      <c r="AO22" s="30">
        <f>SUM(AO6:AO21)/COUNT(AO6:AO21)</f>
        <v>0.1033855493133851</v>
      </c>
      <c r="AP22" s="30">
        <f>SUM(AP6:AP21)/COUNT(AP6:AP21)</f>
        <v>0.23677414581576631</v>
      </c>
      <c r="AQ22" s="30">
        <f>SUM(AQ6:AQ21)/COUNT(AQ6:AQ21)</f>
        <v>0.43687927001134036</v>
      </c>
      <c r="AR22" s="20">
        <v>0.99999999999999978</v>
      </c>
    </row>
  </sheetData>
  <mergeCells count="1">
    <mergeCell ref="B1:AR1"/>
  </mergeCells>
  <dataValidations count="1">
    <dataValidation type="list" allowBlank="1" showInputMessage="1" showErrorMessage="1" sqref="A3" xr:uid="{B55C9628-0EBD-46E2-A864-F3EA0884F8B5}">
      <formula1>$A$6:$A$22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8FD0-32D2-4619-9742-570B8F044163}">
  <dimension ref="A1:AR22"/>
  <sheetViews>
    <sheetView topLeftCell="AH1" workbookViewId="0">
      <selection sqref="A1:XFD1048576"/>
    </sheetView>
  </sheetViews>
  <sheetFormatPr defaultRowHeight="14.4" x14ac:dyDescent="0.3"/>
  <cols>
    <col min="1" max="1" width="33.26953125" style="2" bestFit="1" customWidth="1"/>
    <col min="2" max="2" width="11.453125" style="2" bestFit="1" customWidth="1"/>
    <col min="3" max="3" width="10.08984375" style="2" bestFit="1" customWidth="1"/>
    <col min="4" max="8" width="11" style="2" bestFit="1" customWidth="1"/>
    <col min="9" max="9" width="11.54296875" style="2" bestFit="1" customWidth="1"/>
    <col min="10" max="11" width="7.08984375" style="2" bestFit="1" customWidth="1"/>
    <col min="12" max="12" width="9.7265625" style="2" bestFit="1" customWidth="1"/>
    <col min="13" max="13" width="10.08984375" style="2" bestFit="1" customWidth="1"/>
    <col min="14" max="14" width="9.08984375" style="2" bestFit="1" customWidth="1"/>
    <col min="15" max="17" width="12.36328125" style="2" bestFit="1" customWidth="1"/>
    <col min="18" max="18" width="11" style="2" bestFit="1" customWidth="1"/>
    <col min="19" max="19" width="9.7265625" style="2" bestFit="1" customWidth="1"/>
    <col min="20" max="20" width="10.36328125" style="2" bestFit="1" customWidth="1"/>
    <col min="21" max="21" width="10.90625" style="2" bestFit="1" customWidth="1"/>
    <col min="22" max="22" width="11.453125" style="2" bestFit="1" customWidth="1"/>
    <col min="23" max="24" width="10.90625" style="2" bestFit="1" customWidth="1"/>
    <col min="25" max="26" width="11.54296875" style="2" bestFit="1" customWidth="1"/>
    <col min="27" max="28" width="10.90625" style="2" bestFit="1" customWidth="1"/>
    <col min="29" max="29" width="12.36328125" style="2" customWidth="1"/>
    <col min="30" max="30" width="11.1796875" style="2" customWidth="1"/>
    <col min="31" max="31" width="12.26953125" style="2" bestFit="1" customWidth="1"/>
    <col min="32" max="33" width="10.90625" style="2" bestFit="1" customWidth="1"/>
    <col min="34" max="34" width="12.6328125" style="2" bestFit="1" customWidth="1"/>
    <col min="35" max="35" width="12.26953125" style="2" customWidth="1"/>
    <col min="36" max="36" width="12.26953125" style="2" bestFit="1" customWidth="1"/>
    <col min="37" max="37" width="12.26953125" style="2" customWidth="1"/>
    <col min="38" max="38" width="10.90625" style="2" bestFit="1" customWidth="1"/>
    <col min="39" max="39" width="12.26953125" style="2" bestFit="1" customWidth="1"/>
    <col min="40" max="40" width="6.90625" style="2" bestFit="1" customWidth="1"/>
    <col min="41" max="41" width="8.7265625" style="2"/>
    <col min="42" max="43" width="7.26953125" style="2" bestFit="1" customWidth="1"/>
    <col min="44" max="44" width="7.08984375" style="2" bestFit="1" customWidth="1"/>
    <col min="45" max="16384" width="8.7265625" style="2"/>
  </cols>
  <sheetData>
    <row r="1" spans="1:44" ht="21" x14ac:dyDescent="0.35">
      <c r="A1" s="1" t="s">
        <v>73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</row>
    <row r="2" spans="1:44" ht="72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71</v>
      </c>
      <c r="AJ2" s="5" t="s">
        <v>54</v>
      </c>
      <c r="AK2" s="5" t="s">
        <v>56</v>
      </c>
      <c r="AL2" s="5" t="s">
        <v>55</v>
      </c>
      <c r="AM2" s="5" t="s">
        <v>57</v>
      </c>
      <c r="AN2" s="33" t="s">
        <v>66</v>
      </c>
      <c r="AO2" s="33" t="s">
        <v>67</v>
      </c>
      <c r="AP2" s="33" t="s">
        <v>59</v>
      </c>
      <c r="AQ2" s="33" t="s">
        <v>60</v>
      </c>
      <c r="AR2" s="6" t="s">
        <v>10</v>
      </c>
    </row>
    <row r="3" spans="1:44" x14ac:dyDescent="0.3">
      <c r="A3" s="7" t="s">
        <v>11</v>
      </c>
      <c r="B3" s="8">
        <f t="shared" ref="B3:AR3" si="0">INDEX(B6:B22,MATCH($A$3,$A$6:$A$22,0))</f>
        <v>0</v>
      </c>
      <c r="C3" s="8">
        <f t="shared" si="0"/>
        <v>0</v>
      </c>
      <c r="D3" s="8">
        <f t="shared" si="0"/>
        <v>5959514.8286733702</v>
      </c>
      <c r="E3" s="8">
        <f t="shared" si="0"/>
        <v>4527352.9200263601</v>
      </c>
      <c r="F3" s="8">
        <f t="shared" si="0"/>
        <v>3175399.7064831001</v>
      </c>
      <c r="G3" s="8">
        <f t="shared" si="0"/>
        <v>0</v>
      </c>
      <c r="H3" s="8">
        <f t="shared" si="0"/>
        <v>23158632.716580801</v>
      </c>
      <c r="I3" s="8">
        <f t="shared" si="0"/>
        <v>11362424.2399124</v>
      </c>
      <c r="J3" s="8">
        <f t="shared" si="0"/>
        <v>0</v>
      </c>
      <c r="K3" s="8">
        <f t="shared" si="0"/>
        <v>0</v>
      </c>
      <c r="L3" s="8">
        <f t="shared" si="0"/>
        <v>0</v>
      </c>
      <c r="M3" s="8">
        <f t="shared" si="0"/>
        <v>13676959.666536</v>
      </c>
      <c r="N3" s="8">
        <f t="shared" si="0"/>
        <v>0</v>
      </c>
      <c r="O3" s="8">
        <f t="shared" si="0"/>
        <v>61860284.078212202</v>
      </c>
      <c r="P3" s="8">
        <f t="shared" si="0"/>
        <v>61109210.078212202</v>
      </c>
      <c r="Q3" s="8">
        <f t="shared" si="0"/>
        <v>42762800.75</v>
      </c>
      <c r="R3" s="8">
        <f t="shared" si="0"/>
        <v>19097483.328212202</v>
      </c>
      <c r="S3" s="8">
        <f t="shared" si="0"/>
        <v>5173105.4800000004</v>
      </c>
      <c r="T3" s="8">
        <f t="shared" si="0"/>
        <v>42762800.75</v>
      </c>
      <c r="U3" s="8">
        <f t="shared" si="0"/>
        <v>7694087.6515182797</v>
      </c>
      <c r="V3" s="8">
        <f t="shared" si="0"/>
        <v>35068713.0984817</v>
      </c>
      <c r="W3" s="8">
        <f t="shared" si="0"/>
        <v>18427167.328212202</v>
      </c>
      <c r="X3" s="8">
        <f t="shared" si="0"/>
        <v>19436792.52</v>
      </c>
      <c r="Y3" s="8">
        <f t="shared" si="0"/>
        <v>-14326716.75</v>
      </c>
      <c r="Z3" s="8">
        <f t="shared" si="0"/>
        <v>-5173105.4800000004</v>
      </c>
      <c r="AA3" s="8">
        <f t="shared" si="0"/>
        <v>17445930.618212201</v>
      </c>
      <c r="AB3" s="8">
        <f t="shared" si="0"/>
        <v>17296931.530000001</v>
      </c>
      <c r="AC3" s="8">
        <f t="shared" si="0"/>
        <v>0</v>
      </c>
      <c r="AD3" s="8">
        <f t="shared" si="0"/>
        <v>0</v>
      </c>
      <c r="AE3" s="8">
        <f t="shared" si="0"/>
        <v>487510898.62589902</v>
      </c>
      <c r="AF3" s="8">
        <f t="shared" si="0"/>
        <v>77602388.079999894</v>
      </c>
      <c r="AG3" s="8">
        <f t="shared" si="0"/>
        <v>27007595.427000001</v>
      </c>
      <c r="AH3" s="8">
        <f t="shared" si="0"/>
        <v>609417813.65999997</v>
      </c>
      <c r="AI3" s="8">
        <f t="shared" si="0"/>
        <v>383201082.31349993</v>
      </c>
      <c r="AJ3" s="8">
        <f t="shared" si="0"/>
        <v>258410636</v>
      </c>
      <c r="AK3" s="8">
        <f t="shared" si="0"/>
        <v>0</v>
      </c>
      <c r="AL3" s="8">
        <f t="shared" si="0"/>
        <v>114286838.83402701</v>
      </c>
      <c r="AM3" s="8">
        <f t="shared" si="0"/>
        <v>408579857.68903202</v>
      </c>
      <c r="AN3" s="9">
        <f t="shared" si="0"/>
        <v>0.210560619504815</v>
      </c>
      <c r="AO3" s="9">
        <f t="shared" si="0"/>
        <v>0.30154484577083801</v>
      </c>
      <c r="AP3" s="9">
        <f t="shared" si="0"/>
        <v>0.12590716917582101</v>
      </c>
      <c r="AQ3" s="9">
        <f t="shared" si="0"/>
        <v>8.4653450328993907E-2</v>
      </c>
      <c r="AR3" s="9">
        <f t="shared" si="0"/>
        <v>9.0791911819377041E-2</v>
      </c>
    </row>
    <row r="4" spans="1:44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28"/>
      <c r="AO4" s="28"/>
      <c r="AP4" s="28"/>
      <c r="AQ4" s="28"/>
      <c r="AR4" s="11"/>
    </row>
    <row r="5" spans="1:44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12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71</v>
      </c>
      <c r="AJ5" s="14" t="s">
        <v>54</v>
      </c>
      <c r="AK5" s="14" t="s">
        <v>56</v>
      </c>
      <c r="AL5" s="14" t="s">
        <v>55</v>
      </c>
      <c r="AM5" s="14" t="s">
        <v>57</v>
      </c>
      <c r="AN5" s="35" t="s">
        <v>68</v>
      </c>
      <c r="AO5" s="35" t="s">
        <v>67</v>
      </c>
      <c r="AP5" s="35" t="s">
        <v>59</v>
      </c>
      <c r="AQ5" s="35" t="s">
        <v>60</v>
      </c>
      <c r="AR5" s="15" t="s">
        <v>10</v>
      </c>
    </row>
    <row r="6" spans="1:44" x14ac:dyDescent="0.3">
      <c r="A6" s="17" t="s">
        <v>74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37"/>
      <c r="AJ6" s="18"/>
      <c r="AK6" s="18"/>
      <c r="AL6" s="19"/>
      <c r="AM6" s="19"/>
      <c r="AN6" s="29"/>
      <c r="AO6" s="29"/>
      <c r="AP6" s="29"/>
      <c r="AQ6" s="29"/>
      <c r="AR6" s="20"/>
    </row>
    <row r="7" spans="1:44" x14ac:dyDescent="0.3">
      <c r="A7" s="17" t="s">
        <v>15</v>
      </c>
      <c r="B7" s="18">
        <v>0</v>
      </c>
      <c r="C7" s="18">
        <v>0</v>
      </c>
      <c r="D7" s="18">
        <v>66468918.9949148</v>
      </c>
      <c r="E7" s="18">
        <v>12820592.486841399</v>
      </c>
      <c r="F7" s="18">
        <v>14308398.7667058</v>
      </c>
      <c r="G7" s="18">
        <v>10741536.6727254</v>
      </c>
      <c r="H7" s="18">
        <v>83691311.127981201</v>
      </c>
      <c r="I7" s="18">
        <v>0</v>
      </c>
      <c r="J7" s="18">
        <v>0</v>
      </c>
      <c r="K7" s="18">
        <v>0</v>
      </c>
      <c r="L7" s="18">
        <v>0</v>
      </c>
      <c r="M7" s="18">
        <v>470799.041987176</v>
      </c>
      <c r="N7" s="18">
        <v>0</v>
      </c>
      <c r="O7" s="18">
        <v>188501557.09115601</v>
      </c>
      <c r="P7" s="18">
        <v>183752395.49713701</v>
      </c>
      <c r="Q7" s="18">
        <v>172360107.975328</v>
      </c>
      <c r="R7" s="18">
        <v>16141449.115827899</v>
      </c>
      <c r="S7" s="18">
        <v>11494944.954128699</v>
      </c>
      <c r="T7" s="18">
        <v>172360107.975328</v>
      </c>
      <c r="U7" s="18">
        <v>56259216.258484803</v>
      </c>
      <c r="V7" s="18">
        <v>116100891.71684299</v>
      </c>
      <c r="W7" s="18">
        <v>13560310.2342612</v>
      </c>
      <c r="X7" s="18">
        <v>100726149.967012</v>
      </c>
      <c r="Y7" s="18">
        <v>6671522.4238257604</v>
      </c>
      <c r="Z7" s="18">
        <v>-5049651.4141287003</v>
      </c>
      <c r="AA7" s="18">
        <v>112548737.70096999</v>
      </c>
      <c r="AB7" s="18">
        <v>251787688.02000001</v>
      </c>
      <c r="AC7" s="18">
        <v>0</v>
      </c>
      <c r="AD7" s="18">
        <v>233886.86898215499</v>
      </c>
      <c r="AE7" s="18">
        <v>1958437649.5016201</v>
      </c>
      <c r="AF7" s="18">
        <v>32137210.699999999</v>
      </c>
      <c r="AG7" s="18">
        <v>67684726.253656805</v>
      </c>
      <c r="AH7" s="18">
        <v>2310281161.3400002</v>
      </c>
      <c r="AI7" s="18">
        <v>1635291601.1400001</v>
      </c>
      <c r="AJ7" s="18">
        <v>1224080632.78141</v>
      </c>
      <c r="AK7" s="18">
        <v>31097209.911947299</v>
      </c>
      <c r="AL7" s="19">
        <v>314280380.972987</v>
      </c>
      <c r="AM7" s="19">
        <v>840572610.04000103</v>
      </c>
      <c r="AN7" s="29">
        <v>0.36872532207978198</v>
      </c>
      <c r="AO7" s="29">
        <v>7.3796644650940199E-2</v>
      </c>
      <c r="AP7" s="29">
        <v>0.30616861405412898</v>
      </c>
      <c r="AQ7" s="29">
        <v>6.2556708025652705E-2</v>
      </c>
      <c r="AR7" s="20">
        <f>O7/$O$22</f>
        <v>0.27666243380966576</v>
      </c>
    </row>
    <row r="8" spans="1:44" x14ac:dyDescent="0.3">
      <c r="A8" s="17" t="s">
        <v>16</v>
      </c>
      <c r="B8" s="18">
        <v>0</v>
      </c>
      <c r="C8" s="18">
        <v>0</v>
      </c>
      <c r="D8" s="18">
        <v>0</v>
      </c>
      <c r="E8" s="18">
        <v>0</v>
      </c>
      <c r="F8" s="18">
        <v>848753.05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848753.05</v>
      </c>
      <c r="P8" s="18">
        <v>763877.74</v>
      </c>
      <c r="Q8" s="18">
        <v>106666.48</v>
      </c>
      <c r="R8" s="18">
        <v>742086.57</v>
      </c>
      <c r="S8" s="18">
        <v>2017322.84</v>
      </c>
      <c r="T8" s="18">
        <v>106666.48</v>
      </c>
      <c r="U8" s="18">
        <v>0</v>
      </c>
      <c r="V8" s="18">
        <v>106666.48</v>
      </c>
      <c r="W8" s="18">
        <v>657211.26</v>
      </c>
      <c r="X8" s="18">
        <v>387028.71</v>
      </c>
      <c r="Y8" s="18">
        <v>0</v>
      </c>
      <c r="Z8" s="18">
        <v>-2017322.84</v>
      </c>
      <c r="AA8" s="18">
        <v>-973082.87</v>
      </c>
      <c r="AB8" s="18">
        <v>472695</v>
      </c>
      <c r="AC8" s="18">
        <v>0</v>
      </c>
      <c r="AD8" s="18">
        <v>0</v>
      </c>
      <c r="AE8" s="18">
        <v>6067073.4199999999</v>
      </c>
      <c r="AF8" s="18">
        <v>8147713.2499999898</v>
      </c>
      <c r="AG8" s="18">
        <v>5799304.6299999999</v>
      </c>
      <c r="AH8" s="18">
        <v>20516286.300000001</v>
      </c>
      <c r="AI8" s="18">
        <v>30601131.899999902</v>
      </c>
      <c r="AJ8" s="18">
        <v>15720738.789999999</v>
      </c>
      <c r="AK8" s="18">
        <v>667048.73</v>
      </c>
      <c r="AL8" s="19">
        <v>0</v>
      </c>
      <c r="AM8" s="19">
        <v>0</v>
      </c>
      <c r="AN8" s="29">
        <v>2.6408975342048802</v>
      </c>
      <c r="AO8" s="29">
        <v>0.86036184272106098</v>
      </c>
      <c r="AP8" s="29">
        <v>0</v>
      </c>
      <c r="AQ8" s="29">
        <v>2.6408975342048802</v>
      </c>
      <c r="AR8" s="20">
        <f>O8/$O$22</f>
        <v>1.2457089911613998E-3</v>
      </c>
    </row>
    <row r="9" spans="1:44" x14ac:dyDescent="0.3">
      <c r="A9" s="17" t="s">
        <v>17</v>
      </c>
      <c r="B9" s="18">
        <v>3845107.5407999898</v>
      </c>
      <c r="C9" s="18">
        <v>0</v>
      </c>
      <c r="D9" s="18">
        <v>0</v>
      </c>
      <c r="E9" s="18">
        <v>16878279.627099101</v>
      </c>
      <c r="F9" s="18">
        <v>0</v>
      </c>
      <c r="G9" s="18">
        <v>1107918.9590849499</v>
      </c>
      <c r="H9" s="18">
        <v>6408512.568</v>
      </c>
      <c r="I9" s="18">
        <v>640851.25679999997</v>
      </c>
      <c r="J9" s="18">
        <v>0</v>
      </c>
      <c r="K9" s="18">
        <v>0</v>
      </c>
      <c r="L9" s="18">
        <v>0</v>
      </c>
      <c r="M9" s="18">
        <v>238716.75999999899</v>
      </c>
      <c r="N9" s="18">
        <v>150612.91327917101</v>
      </c>
      <c r="O9" s="18">
        <v>29269999.6250632</v>
      </c>
      <c r="P9" s="18">
        <v>29269999.6250632</v>
      </c>
      <c r="Q9" s="18">
        <v>19005856.776188899</v>
      </c>
      <c r="R9" s="18">
        <v>10264142.8488742</v>
      </c>
      <c r="S9" s="18">
        <v>9522149.6552999895</v>
      </c>
      <c r="T9" s="18">
        <v>19005856.776188899</v>
      </c>
      <c r="U9" s="18">
        <v>829352.706526628</v>
      </c>
      <c r="V9" s="18">
        <v>18176504.069662299</v>
      </c>
      <c r="W9" s="18">
        <v>10264142.8488742</v>
      </c>
      <c r="X9" s="18">
        <v>7695508.1899999902</v>
      </c>
      <c r="Y9" s="18">
        <v>312335.67485890503</v>
      </c>
      <c r="Z9" s="18">
        <v>-9522149.6552999895</v>
      </c>
      <c r="AA9" s="18">
        <v>8749837.0584331695</v>
      </c>
      <c r="AB9" s="18">
        <v>42451987.129999898</v>
      </c>
      <c r="AC9" s="18">
        <v>0</v>
      </c>
      <c r="AD9" s="18">
        <v>8848137</v>
      </c>
      <c r="AE9" s="18">
        <v>533028128.124295</v>
      </c>
      <c r="AF9" s="18">
        <v>74545465.890000001</v>
      </c>
      <c r="AG9" s="18">
        <v>13771144.189999999</v>
      </c>
      <c r="AH9" s="18">
        <v>675657427.78999996</v>
      </c>
      <c r="AI9" s="18">
        <v>407432724.42383599</v>
      </c>
      <c r="AJ9" s="18">
        <v>239459836.30648699</v>
      </c>
      <c r="AK9" s="18">
        <v>0</v>
      </c>
      <c r="AL9" s="19">
        <v>96316196.928299993</v>
      </c>
      <c r="AM9" s="19">
        <v>0</v>
      </c>
      <c r="AN9" s="29">
        <v>0.35365570531004897</v>
      </c>
      <c r="AO9" s="29">
        <v>0.350671096014818</v>
      </c>
      <c r="AP9" s="29">
        <v>2.8334564986344301E-2</v>
      </c>
      <c r="AQ9" s="29">
        <v>0.32532114032370502</v>
      </c>
      <c r="AR9" s="20">
        <f>O9/$O$22</f>
        <v>4.2959376351262624E-2</v>
      </c>
    </row>
    <row r="10" spans="1:44" x14ac:dyDescent="0.3">
      <c r="A10" s="17" t="s">
        <v>19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J10" s="18"/>
      <c r="AK10" s="18"/>
      <c r="AL10" s="19"/>
      <c r="AM10" s="19"/>
      <c r="AN10" s="29"/>
      <c r="AO10" s="29"/>
      <c r="AP10" s="29"/>
      <c r="AQ10" s="29"/>
      <c r="AR10" s="20"/>
    </row>
    <row r="11" spans="1:44" x14ac:dyDescent="0.3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9"/>
      <c r="AJ11" s="18"/>
      <c r="AK11" s="18"/>
      <c r="AL11" s="19"/>
      <c r="AM11" s="19"/>
      <c r="AN11" s="29"/>
      <c r="AO11" s="29"/>
      <c r="AP11" s="29"/>
      <c r="AQ11" s="29"/>
      <c r="AR11" s="20"/>
    </row>
    <row r="12" spans="1:44" x14ac:dyDescent="0.3">
      <c r="A12" s="17" t="s">
        <v>20</v>
      </c>
      <c r="B12" s="18">
        <v>0</v>
      </c>
      <c r="C12" s="18">
        <v>4821726</v>
      </c>
      <c r="D12" s="18">
        <v>0</v>
      </c>
      <c r="E12" s="18">
        <v>5907297</v>
      </c>
      <c r="F12" s="18">
        <v>2437100</v>
      </c>
      <c r="G12" s="18">
        <v>2697775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15863898</v>
      </c>
      <c r="P12" s="18">
        <v>15071690</v>
      </c>
      <c r="Q12" s="18">
        <v>13953600</v>
      </c>
      <c r="R12" s="18">
        <v>1910298</v>
      </c>
      <c r="S12" s="18">
        <v>360392</v>
      </c>
      <c r="T12" s="18">
        <v>13953600</v>
      </c>
      <c r="U12" s="18">
        <v>3026369</v>
      </c>
      <c r="V12" s="18">
        <v>10927231</v>
      </c>
      <c r="W12" s="18">
        <v>1583891</v>
      </c>
      <c r="X12" s="18">
        <v>24464787</v>
      </c>
      <c r="Y12" s="18">
        <v>-13533648.003580499</v>
      </c>
      <c r="Z12" s="18">
        <v>-360392</v>
      </c>
      <c r="AA12" s="18">
        <v>9687694.9964194503</v>
      </c>
      <c r="AB12" s="18">
        <v>33887131</v>
      </c>
      <c r="AC12" s="18">
        <v>5930185</v>
      </c>
      <c r="AD12" s="18">
        <v>2110233</v>
      </c>
      <c r="AE12" s="18">
        <v>339846211</v>
      </c>
      <c r="AF12" s="18">
        <v>1090385</v>
      </c>
      <c r="AG12" s="18">
        <v>7578031</v>
      </c>
      <c r="AH12" s="18">
        <v>390642621</v>
      </c>
      <c r="AI12" s="18">
        <v>287149352</v>
      </c>
      <c r="AJ12" s="18">
        <v>281031517</v>
      </c>
      <c r="AK12" s="18">
        <v>625</v>
      </c>
      <c r="AL12" s="19">
        <v>0</v>
      </c>
      <c r="AM12" s="19">
        <v>2244026.3333178302</v>
      </c>
      <c r="AN12" s="29">
        <v>0.22471010218495699</v>
      </c>
      <c r="AO12" s="29">
        <v>0.10509047094254099</v>
      </c>
      <c r="AP12" s="29">
        <v>0.200798251556394</v>
      </c>
      <c r="AQ12" s="29">
        <v>2.3911850628562499E-2</v>
      </c>
      <c r="AR12" s="20">
        <f>O12/$O$22</f>
        <v>2.3283333560294536E-2</v>
      </c>
    </row>
    <row r="13" spans="1:44" x14ac:dyDescent="0.3">
      <c r="A13" s="17" t="s">
        <v>11</v>
      </c>
      <c r="B13" s="18">
        <v>0</v>
      </c>
      <c r="C13" s="18">
        <v>0</v>
      </c>
      <c r="D13" s="18">
        <v>5959514.8286733702</v>
      </c>
      <c r="E13" s="18">
        <v>4527352.9200263601</v>
      </c>
      <c r="F13" s="18">
        <v>3175399.7064831001</v>
      </c>
      <c r="G13" s="18">
        <v>0</v>
      </c>
      <c r="H13" s="18">
        <v>23158632.716580801</v>
      </c>
      <c r="I13" s="18">
        <v>11362424.2399124</v>
      </c>
      <c r="J13" s="18">
        <v>0</v>
      </c>
      <c r="K13" s="18">
        <v>0</v>
      </c>
      <c r="L13" s="18">
        <v>0</v>
      </c>
      <c r="M13" s="18">
        <v>13676959.666536</v>
      </c>
      <c r="N13" s="18">
        <v>0</v>
      </c>
      <c r="O13" s="18">
        <v>61860284.078212202</v>
      </c>
      <c r="P13" s="18">
        <v>61109210.078212202</v>
      </c>
      <c r="Q13" s="18">
        <v>42762800.75</v>
      </c>
      <c r="R13" s="18">
        <v>19097483.328212202</v>
      </c>
      <c r="S13" s="18">
        <v>5173105.4800000004</v>
      </c>
      <c r="T13" s="18">
        <v>42762800.75</v>
      </c>
      <c r="U13" s="18">
        <v>7694087.6515182797</v>
      </c>
      <c r="V13" s="18">
        <v>35068713.0984817</v>
      </c>
      <c r="W13" s="18">
        <v>18427167.328212202</v>
      </c>
      <c r="X13" s="18">
        <v>19436792.52</v>
      </c>
      <c r="Y13" s="18">
        <v>-14326716.75</v>
      </c>
      <c r="Z13" s="18">
        <v>-5173105.4800000004</v>
      </c>
      <c r="AA13" s="18">
        <v>17445930.618212201</v>
      </c>
      <c r="AB13" s="18">
        <v>17296931.530000001</v>
      </c>
      <c r="AC13" s="18">
        <v>0</v>
      </c>
      <c r="AD13" s="18">
        <v>0</v>
      </c>
      <c r="AE13" s="18">
        <v>487510898.62589902</v>
      </c>
      <c r="AF13" s="18">
        <v>77602388.079999894</v>
      </c>
      <c r="AG13" s="18">
        <v>27007595.427000001</v>
      </c>
      <c r="AH13" s="18">
        <v>609417813.65999997</v>
      </c>
      <c r="AI13" s="18">
        <v>383201082.31349993</v>
      </c>
      <c r="AJ13" s="18">
        <v>258410636</v>
      </c>
      <c r="AK13" s="18">
        <v>0</v>
      </c>
      <c r="AL13" s="19">
        <v>114286838.83402701</v>
      </c>
      <c r="AM13" s="19">
        <v>408579857.68903202</v>
      </c>
      <c r="AN13" s="29">
        <v>0.210560619504815</v>
      </c>
      <c r="AO13" s="29">
        <v>0.30154484577083801</v>
      </c>
      <c r="AP13" s="29">
        <v>0.12590716917582101</v>
      </c>
      <c r="AQ13" s="29">
        <v>8.4653450328993907E-2</v>
      </c>
      <c r="AR13" s="20">
        <f t="shared" ref="AR13:AR20" si="1">O13/$O$22</f>
        <v>9.0791911819377041E-2</v>
      </c>
    </row>
    <row r="14" spans="1:44" x14ac:dyDescent="0.3">
      <c r="A14" s="17" t="s">
        <v>21</v>
      </c>
      <c r="B14" s="18">
        <v>8602955.5</v>
      </c>
      <c r="C14" s="18">
        <v>0</v>
      </c>
      <c r="D14" s="18">
        <v>0</v>
      </c>
      <c r="E14" s="18">
        <v>16759035.5</v>
      </c>
      <c r="F14" s="18">
        <v>524179.25</v>
      </c>
      <c r="G14" s="18">
        <v>764921</v>
      </c>
      <c r="H14" s="18">
        <v>3047659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29698750.25</v>
      </c>
      <c r="P14" s="18">
        <v>25095685.25</v>
      </c>
      <c r="Q14" s="18">
        <v>32009782.25</v>
      </c>
      <c r="R14" s="18">
        <v>-2311032</v>
      </c>
      <c r="S14" s="18">
        <v>5066049.67</v>
      </c>
      <c r="T14" s="18">
        <v>32009782.25</v>
      </c>
      <c r="U14" s="18">
        <v>4342827.75</v>
      </c>
      <c r="V14" s="18">
        <v>27666954.5</v>
      </c>
      <c r="W14" s="18">
        <v>-6914097</v>
      </c>
      <c r="X14" s="18">
        <v>24462876.070250399</v>
      </c>
      <c r="Y14" s="18">
        <v>-14973569.609999999</v>
      </c>
      <c r="Z14" s="18">
        <v>-4648410.8024749998</v>
      </c>
      <c r="AA14" s="18">
        <v>-2073201.3422245199</v>
      </c>
      <c r="AB14" s="18">
        <v>34359052.649999999</v>
      </c>
      <c r="AC14" s="18">
        <v>0</v>
      </c>
      <c r="AD14" s="18">
        <v>25388883</v>
      </c>
      <c r="AE14" s="18">
        <v>530508289.95873398</v>
      </c>
      <c r="AF14" s="18">
        <v>19258728.676815499</v>
      </c>
      <c r="AG14" s="18">
        <v>10543335.51</v>
      </c>
      <c r="AH14" s="18">
        <v>620219093.45000005</v>
      </c>
      <c r="AI14" s="18">
        <v>580531252.12949991</v>
      </c>
      <c r="AJ14" s="18">
        <v>460391177</v>
      </c>
      <c r="AK14" s="18">
        <v>0</v>
      </c>
      <c r="AL14" s="19">
        <v>97817518.7894748</v>
      </c>
      <c r="AM14" s="19">
        <v>0</v>
      </c>
      <c r="AN14" s="29">
        <v>0.37492012376908501</v>
      </c>
      <c r="AO14" s="29">
        <v>-0.27550939259568502</v>
      </c>
      <c r="AP14" s="29">
        <v>0.173050773738087</v>
      </c>
      <c r="AQ14" s="29">
        <v>0.20186935003099801</v>
      </c>
      <c r="AR14" s="20">
        <f t="shared" si="1"/>
        <v>4.3588650683119033E-2</v>
      </c>
    </row>
    <row r="15" spans="1:44" x14ac:dyDescent="0.3">
      <c r="A15" s="17" t="s">
        <v>75</v>
      </c>
      <c r="B15" s="18">
        <v>1648233.6103193499</v>
      </c>
      <c r="C15" s="18">
        <v>0</v>
      </c>
      <c r="D15" s="18">
        <v>0</v>
      </c>
      <c r="E15" s="18">
        <v>298400.80399604997</v>
      </c>
      <c r="F15" s="18">
        <v>66254.610732020403</v>
      </c>
      <c r="G15" s="18">
        <v>914186.02554737905</v>
      </c>
      <c r="H15" s="18">
        <v>1978036.45564885</v>
      </c>
      <c r="I15" s="18">
        <v>167417.49218699001</v>
      </c>
      <c r="J15" s="18">
        <v>0</v>
      </c>
      <c r="K15" s="18">
        <v>0</v>
      </c>
      <c r="L15" s="18">
        <v>0</v>
      </c>
      <c r="M15" s="18">
        <v>6198677.3212184599</v>
      </c>
      <c r="N15" s="18">
        <v>0</v>
      </c>
      <c r="O15" s="18">
        <v>11271206.3196491</v>
      </c>
      <c r="P15" s="18">
        <v>11271206.3196491</v>
      </c>
      <c r="Q15" s="18">
        <v>9788714.7641600296</v>
      </c>
      <c r="R15" s="18">
        <v>1482491.55548908</v>
      </c>
      <c r="S15" s="18">
        <v>0</v>
      </c>
      <c r="T15" s="18">
        <v>9788714.7641600296</v>
      </c>
      <c r="U15" s="18">
        <v>1368622.99999999</v>
      </c>
      <c r="V15" s="18">
        <v>8420091.7641600296</v>
      </c>
      <c r="W15" s="18">
        <v>1482491.55548908</v>
      </c>
      <c r="X15" s="18">
        <v>5116516</v>
      </c>
      <c r="Y15" s="18">
        <v>-4500697.5520030502</v>
      </c>
      <c r="Z15" s="18">
        <v>0</v>
      </c>
      <c r="AA15" s="18">
        <v>2098310.00348602</v>
      </c>
      <c r="AB15" s="18">
        <v>2670514</v>
      </c>
      <c r="AC15" s="18">
        <v>0</v>
      </c>
      <c r="AD15" s="18">
        <v>0</v>
      </c>
      <c r="AE15" s="18">
        <v>241164677</v>
      </c>
      <c r="AF15" s="18">
        <v>4583865</v>
      </c>
      <c r="AG15" s="18">
        <v>6428374</v>
      </c>
      <c r="AH15" s="18">
        <v>254847430</v>
      </c>
      <c r="AI15" s="18">
        <v>135865214</v>
      </c>
      <c r="AJ15" s="18">
        <v>7025448</v>
      </c>
      <c r="AK15" s="18">
        <v>0</v>
      </c>
      <c r="AL15" s="19">
        <v>87185424</v>
      </c>
      <c r="AM15" s="19">
        <v>26920083.171124201</v>
      </c>
      <c r="AN15" s="29">
        <v>0.121426488095961</v>
      </c>
      <c r="AO15" s="29">
        <v>0.13152909399809701</v>
      </c>
      <c r="AP15" s="29">
        <v>0.121426488095961</v>
      </c>
      <c r="AQ15" s="29">
        <v>0</v>
      </c>
      <c r="AR15" s="20">
        <f t="shared" si="1"/>
        <v>1.6542671691868526E-2</v>
      </c>
    </row>
    <row r="16" spans="1:44" x14ac:dyDescent="0.3">
      <c r="A16" s="17" t="s">
        <v>22</v>
      </c>
      <c r="B16" s="18">
        <v>79356048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79356048</v>
      </c>
      <c r="P16" s="18">
        <v>75862606</v>
      </c>
      <c r="Q16" s="18">
        <v>36745044</v>
      </c>
      <c r="R16" s="18">
        <v>42611004</v>
      </c>
      <c r="S16" s="18">
        <v>2429279</v>
      </c>
      <c r="T16" s="18">
        <v>36745044</v>
      </c>
      <c r="U16" s="18">
        <v>36745044</v>
      </c>
      <c r="V16" s="18">
        <v>0</v>
      </c>
      <c r="W16" s="18">
        <v>46968776</v>
      </c>
      <c r="X16" s="18">
        <v>45453454</v>
      </c>
      <c r="Y16" s="18">
        <v>-44567882</v>
      </c>
      <c r="Z16" s="18">
        <v>-2422555</v>
      </c>
      <c r="AA16" s="18">
        <v>38627762</v>
      </c>
      <c r="AB16" s="18">
        <v>126946508</v>
      </c>
      <c r="AC16" s="18">
        <v>2661720.56408821</v>
      </c>
      <c r="AD16" s="18">
        <v>0</v>
      </c>
      <c r="AE16" s="18">
        <v>909601540.998119</v>
      </c>
      <c r="AF16" s="18">
        <v>32727927.25</v>
      </c>
      <c r="AG16" s="18">
        <v>17922742.042706002</v>
      </c>
      <c r="AH16" s="18">
        <v>1106164356</v>
      </c>
      <c r="AI16" s="18">
        <v>867838800.99904203</v>
      </c>
      <c r="AJ16" s="18">
        <v>853320299</v>
      </c>
      <c r="AK16" s="18">
        <v>0</v>
      </c>
      <c r="AL16" s="19">
        <v>0</v>
      </c>
      <c r="AM16" s="19">
        <v>0</v>
      </c>
      <c r="AN16" s="29">
        <v>0.51638514764441301</v>
      </c>
      <c r="AO16" s="29">
        <v>0.61912948258065303</v>
      </c>
      <c r="AP16" s="29">
        <v>0.48436306024077203</v>
      </c>
      <c r="AQ16" s="29">
        <v>3.2022087403641201E-2</v>
      </c>
      <c r="AR16" s="20">
        <f t="shared" si="1"/>
        <v>0.1164703237256533</v>
      </c>
    </row>
    <row r="17" spans="1:44" x14ac:dyDescent="0.3">
      <c r="A17" s="17" t="s">
        <v>23</v>
      </c>
      <c r="B17" s="18">
        <v>2223240</v>
      </c>
      <c r="C17" s="18">
        <v>0</v>
      </c>
      <c r="D17" s="18">
        <v>0</v>
      </c>
      <c r="E17" s="18">
        <v>372889</v>
      </c>
      <c r="F17" s="18">
        <v>0</v>
      </c>
      <c r="G17" s="18">
        <v>739464</v>
      </c>
      <c r="H17" s="18">
        <v>53796</v>
      </c>
      <c r="I17" s="18">
        <v>136318</v>
      </c>
      <c r="J17" s="18">
        <v>0</v>
      </c>
      <c r="K17" s="18">
        <v>0</v>
      </c>
      <c r="L17" s="18">
        <v>0</v>
      </c>
      <c r="M17" s="18">
        <v>1624198</v>
      </c>
      <c r="N17" s="18">
        <v>2019906</v>
      </c>
      <c r="O17" s="18">
        <v>7169811</v>
      </c>
      <c r="P17" s="18">
        <v>7169811</v>
      </c>
      <c r="Q17" s="18">
        <v>6886972</v>
      </c>
      <c r="R17" s="18">
        <v>282839</v>
      </c>
      <c r="S17" s="18">
        <v>4119975</v>
      </c>
      <c r="T17" s="18">
        <v>6886972</v>
      </c>
      <c r="U17" s="18">
        <v>193280</v>
      </c>
      <c r="V17" s="18">
        <v>6693692</v>
      </c>
      <c r="W17" s="18">
        <v>282839</v>
      </c>
      <c r="X17" s="18">
        <v>2954347</v>
      </c>
      <c r="Y17" s="18">
        <v>0</v>
      </c>
      <c r="Z17" s="18">
        <v>-3655467</v>
      </c>
      <c r="AA17" s="18">
        <v>-418281</v>
      </c>
      <c r="AB17" s="18">
        <v>6350501</v>
      </c>
      <c r="AC17" s="18">
        <v>0</v>
      </c>
      <c r="AD17" s="18">
        <v>0</v>
      </c>
      <c r="AE17" s="18">
        <v>116696024</v>
      </c>
      <c r="AF17" s="18">
        <v>24135229</v>
      </c>
      <c r="AG17" s="18">
        <v>2310752</v>
      </c>
      <c r="AH17" s="18">
        <v>149502566</v>
      </c>
      <c r="AI17" s="18">
        <v>102906416</v>
      </c>
      <c r="AJ17" s="18">
        <v>99348564</v>
      </c>
      <c r="AK17" s="18">
        <v>0</v>
      </c>
      <c r="AL17" s="19">
        <v>0</v>
      </c>
      <c r="AM17" s="19">
        <v>22828881</v>
      </c>
      <c r="AN17" s="29">
        <v>0.60158559270251299</v>
      </c>
      <c r="AO17" s="29">
        <v>3.9448599133226799E-2</v>
      </c>
      <c r="AP17" s="29">
        <v>2.6957474890202799E-2</v>
      </c>
      <c r="AQ17" s="29">
        <v>0.57462811781231005</v>
      </c>
      <c r="AR17" s="20">
        <f t="shared" si="1"/>
        <v>1.0523082099826216E-2</v>
      </c>
    </row>
    <row r="18" spans="1:44" x14ac:dyDescent="0.3">
      <c r="A18" s="17" t="s">
        <v>72</v>
      </c>
      <c r="B18" s="18">
        <v>79419152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79419152</v>
      </c>
      <c r="P18" s="18">
        <v>69800817</v>
      </c>
      <c r="Q18" s="18">
        <v>50570324</v>
      </c>
      <c r="R18" s="18">
        <v>28848828</v>
      </c>
      <c r="S18" s="18">
        <v>264384</v>
      </c>
      <c r="T18" s="18">
        <v>50570324</v>
      </c>
      <c r="U18" s="18">
        <v>50570324</v>
      </c>
      <c r="V18" s="18">
        <v>0</v>
      </c>
      <c r="W18" s="18">
        <v>19230493</v>
      </c>
      <c r="X18" s="18">
        <v>8387587</v>
      </c>
      <c r="Y18" s="18">
        <v>-10641917</v>
      </c>
      <c r="Z18" s="18">
        <v>582308</v>
      </c>
      <c r="AA18" s="18">
        <v>17269723</v>
      </c>
      <c r="AB18" s="18">
        <v>66188024</v>
      </c>
      <c r="AC18" s="18">
        <v>5925979</v>
      </c>
      <c r="AD18" s="18">
        <v>0</v>
      </c>
      <c r="AE18" s="18">
        <v>210773207</v>
      </c>
      <c r="AF18" s="18">
        <v>2281233</v>
      </c>
      <c r="AG18" s="18">
        <v>10471343</v>
      </c>
      <c r="AH18" s="18">
        <v>296971870</v>
      </c>
      <c r="AI18" s="18">
        <v>133153566</v>
      </c>
      <c r="AJ18" s="18">
        <v>62089381</v>
      </c>
      <c r="AK18" s="18">
        <v>11686470</v>
      </c>
      <c r="AL18" s="19">
        <v>14199891</v>
      </c>
      <c r="AM18" s="19">
        <v>0</v>
      </c>
      <c r="AN18" s="29">
        <v>0.728282421106904</v>
      </c>
      <c r="AO18" s="29">
        <v>0.27550527094833199</v>
      </c>
      <c r="AP18" s="29">
        <v>0.72449472905166701</v>
      </c>
      <c r="AQ18" s="29">
        <v>3.7876920552376899E-3</v>
      </c>
      <c r="AR18" s="20">
        <f t="shared" si="1"/>
        <v>0.1165629410307437</v>
      </c>
    </row>
    <row r="19" spans="1:44" x14ac:dyDescent="0.3">
      <c r="A19" s="17" t="s">
        <v>25</v>
      </c>
      <c r="B19" s="18">
        <v>27989591.620000001</v>
      </c>
      <c r="C19" s="18">
        <v>0</v>
      </c>
      <c r="D19" s="18">
        <v>0</v>
      </c>
      <c r="E19" s="18">
        <v>15121084.529999999</v>
      </c>
      <c r="F19" s="18">
        <v>66472.13</v>
      </c>
      <c r="G19" s="18">
        <v>2992974.06</v>
      </c>
      <c r="H19" s="18">
        <v>2069283.71</v>
      </c>
      <c r="I19" s="18">
        <v>12992098.119999999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61231504.170000002</v>
      </c>
      <c r="P19" s="18">
        <v>56017405.350000001</v>
      </c>
      <c r="Q19" s="18">
        <v>51319417.960000001</v>
      </c>
      <c r="R19" s="18">
        <v>9912086.2099999897</v>
      </c>
      <c r="S19" s="18">
        <v>18407137.3699999</v>
      </c>
      <c r="T19" s="18">
        <v>51319417.960000001</v>
      </c>
      <c r="U19" s="18">
        <v>4212267.75</v>
      </c>
      <c r="V19" s="18">
        <v>47107150.210000001</v>
      </c>
      <c r="W19" s="18">
        <v>6139532.48999999</v>
      </c>
      <c r="X19" s="18">
        <v>38945112.560000002</v>
      </c>
      <c r="Y19" s="18">
        <v>-28697872.07</v>
      </c>
      <c r="Z19" s="18">
        <v>-15497180.4599999</v>
      </c>
      <c r="AA19" s="18">
        <v>889592.52000002097</v>
      </c>
      <c r="AB19" s="18">
        <v>26897023.780000001</v>
      </c>
      <c r="AC19" s="18">
        <v>0</v>
      </c>
      <c r="AD19" s="18">
        <v>0</v>
      </c>
      <c r="AE19" s="18">
        <v>1147981101.04599</v>
      </c>
      <c r="AF19" s="18">
        <v>192250996.35499901</v>
      </c>
      <c r="AG19" s="18">
        <v>101563304.943</v>
      </c>
      <c r="AH19" s="18">
        <v>1468692426.1199999</v>
      </c>
      <c r="AI19" s="18">
        <v>1591819225.1779988</v>
      </c>
      <c r="AJ19" s="18">
        <v>1469306782.0699999</v>
      </c>
      <c r="AK19" s="18">
        <v>0</v>
      </c>
      <c r="AL19" s="19">
        <v>0</v>
      </c>
      <c r="AM19" s="19">
        <v>0</v>
      </c>
      <c r="AN19" s="29">
        <v>0.40379244591342001</v>
      </c>
      <c r="AO19" s="29">
        <v>0.109600443855616</v>
      </c>
      <c r="AP19" s="29">
        <v>7.5195695403625099E-2</v>
      </c>
      <c r="AQ19" s="29">
        <v>0.32859675050979398</v>
      </c>
      <c r="AR19" s="20">
        <f t="shared" si="1"/>
        <v>8.9869055889585006E-2</v>
      </c>
    </row>
    <row r="20" spans="1:44" x14ac:dyDescent="0.3">
      <c r="A20" s="17" t="s">
        <v>26</v>
      </c>
      <c r="B20" s="18">
        <v>2973965</v>
      </c>
      <c r="C20" s="18">
        <v>0</v>
      </c>
      <c r="D20" s="18">
        <v>0</v>
      </c>
      <c r="E20" s="18">
        <v>28582165</v>
      </c>
      <c r="F20" s="18">
        <v>13117745</v>
      </c>
      <c r="G20" s="18">
        <v>0</v>
      </c>
      <c r="H20" s="18">
        <v>0</v>
      </c>
      <c r="I20" s="18">
        <v>72176514.831607997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116850389.831608</v>
      </c>
      <c r="P20" s="18">
        <v>115275966.831608</v>
      </c>
      <c r="Q20" s="18">
        <v>79181605.0026301</v>
      </c>
      <c r="R20" s="18">
        <v>37668784.828977801</v>
      </c>
      <c r="S20" s="18">
        <v>8428627</v>
      </c>
      <c r="T20" s="18">
        <v>79181605.0026301</v>
      </c>
      <c r="U20" s="18">
        <v>19671137</v>
      </c>
      <c r="V20" s="18">
        <v>59510468.0026301</v>
      </c>
      <c r="W20" s="18">
        <v>37318455.828977801</v>
      </c>
      <c r="X20" s="18">
        <v>52321950</v>
      </c>
      <c r="Y20" s="18">
        <v>-72144154.975999802</v>
      </c>
      <c r="Z20" s="18">
        <v>-1478448</v>
      </c>
      <c r="AA20" s="18">
        <v>13970437.852978</v>
      </c>
      <c r="AB20" s="18">
        <v>218019143</v>
      </c>
      <c r="AC20" s="18">
        <v>33728400</v>
      </c>
      <c r="AD20" s="18">
        <v>980226</v>
      </c>
      <c r="AE20" s="18">
        <v>2651212387</v>
      </c>
      <c r="AF20" s="18">
        <v>94764050.829999998</v>
      </c>
      <c r="AG20" s="18">
        <v>61872551</v>
      </c>
      <c r="AH20" s="18">
        <v>3060742716</v>
      </c>
      <c r="AI20" s="18">
        <v>1716346960</v>
      </c>
      <c r="AJ20" s="18">
        <v>1379448207</v>
      </c>
      <c r="AK20" s="18">
        <v>52011</v>
      </c>
      <c r="AL20" s="19">
        <v>0</v>
      </c>
      <c r="AM20" s="19">
        <v>762837598.00262105</v>
      </c>
      <c r="AN20" s="29">
        <v>0.24376081825492099</v>
      </c>
      <c r="AO20" s="29">
        <v>0.32373144944853599</v>
      </c>
      <c r="AP20" s="29">
        <v>0.17064386914867499</v>
      </c>
      <c r="AQ20" s="29">
        <v>7.3116949106246096E-2</v>
      </c>
      <c r="AR20" s="20">
        <f t="shared" si="1"/>
        <v>0.17150051034744285</v>
      </c>
    </row>
    <row r="21" spans="1:44" x14ac:dyDescent="0.3">
      <c r="A21" s="17" t="s">
        <v>27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9"/>
      <c r="AM21" s="19"/>
      <c r="AN21" s="29"/>
      <c r="AO21" s="29"/>
      <c r="AP21" s="29"/>
      <c r="AQ21" s="29"/>
      <c r="AR21" s="20"/>
    </row>
    <row r="22" spans="1:44" x14ac:dyDescent="0.3">
      <c r="A22" s="21" t="s">
        <v>28</v>
      </c>
      <c r="B22" s="22">
        <f t="shared" ref="B22:V22" si="2">SUM(B6:B21)</f>
        <v>206058293.27111936</v>
      </c>
      <c r="C22" s="22">
        <f t="shared" si="2"/>
        <v>4821726</v>
      </c>
      <c r="D22" s="22">
        <f t="shared" si="2"/>
        <v>72428433.823588163</v>
      </c>
      <c r="E22" s="22">
        <f t="shared" si="2"/>
        <v>101267096.86796291</v>
      </c>
      <c r="F22" s="22">
        <f t="shared" si="2"/>
        <v>34544302.513920918</v>
      </c>
      <c r="G22" s="22">
        <f t="shared" si="2"/>
        <v>19958775.717357729</v>
      </c>
      <c r="H22" s="22">
        <f t="shared" si="2"/>
        <v>120407231.57821086</v>
      </c>
      <c r="I22" s="22">
        <f t="shared" si="2"/>
        <v>97475623.940507382</v>
      </c>
      <c r="J22" s="22">
        <f t="shared" si="2"/>
        <v>0</v>
      </c>
      <c r="K22" s="22">
        <f t="shared" si="2"/>
        <v>0</v>
      </c>
      <c r="L22" s="22">
        <f t="shared" si="2"/>
        <v>0</v>
      </c>
      <c r="M22" s="22">
        <f t="shared" si="2"/>
        <v>22209350.789741635</v>
      </c>
      <c r="N22" s="22">
        <f t="shared" si="2"/>
        <v>2170518.9132791711</v>
      </c>
      <c r="O22" s="22">
        <f t="shared" si="2"/>
        <v>681341353.41568851</v>
      </c>
      <c r="P22" s="22">
        <f t="shared" si="2"/>
        <v>650460670.69166946</v>
      </c>
      <c r="Q22" s="22">
        <f t="shared" si="2"/>
        <v>514690891.95830703</v>
      </c>
      <c r="R22" s="22">
        <f t="shared" si="2"/>
        <v>166650461.45738119</v>
      </c>
      <c r="S22" s="23">
        <f t="shared" si="2"/>
        <v>67283366.969428599</v>
      </c>
      <c r="T22" s="23">
        <f t="shared" si="2"/>
        <v>514690891.95830703</v>
      </c>
      <c r="U22" s="23">
        <f t="shared" si="2"/>
        <v>184912529.1165297</v>
      </c>
      <c r="V22" s="23">
        <f t="shared" si="2"/>
        <v>329778362.84177715</v>
      </c>
      <c r="W22" s="23">
        <f>SUM(W6:W20)</f>
        <v>149001213.54581448</v>
      </c>
      <c r="X22" s="23">
        <f t="shared" ref="X22:AM22" si="3">SUM(X6:X21)</f>
        <v>330352109.0172624</v>
      </c>
      <c r="Y22" s="23">
        <f t="shared" si="3"/>
        <v>-196402599.86289868</v>
      </c>
      <c r="Z22" s="23">
        <f t="shared" si="3"/>
        <v>-49242374.651903585</v>
      </c>
      <c r="AA22" s="23">
        <f t="shared" si="3"/>
        <v>217823460.53827432</v>
      </c>
      <c r="AB22" s="23">
        <f t="shared" si="3"/>
        <v>827327199.1099999</v>
      </c>
      <c r="AC22" s="23">
        <f t="shared" si="3"/>
        <v>48246284.56408821</v>
      </c>
      <c r="AD22" s="23">
        <f t="shared" si="3"/>
        <v>37561365.868982151</v>
      </c>
      <c r="AE22" s="23">
        <f t="shared" si="3"/>
        <v>9132827187.6746559</v>
      </c>
      <c r="AF22" s="23">
        <f t="shared" si="3"/>
        <v>563525193.03181446</v>
      </c>
      <c r="AG22" s="23">
        <f t="shared" si="3"/>
        <v>332953203.99636281</v>
      </c>
      <c r="AH22" s="23">
        <f t="shared" si="3"/>
        <v>10963655767.66</v>
      </c>
      <c r="AI22" s="23">
        <f t="shared" si="3"/>
        <v>7872137326.0838766</v>
      </c>
      <c r="AJ22" s="23">
        <f t="shared" si="3"/>
        <v>6349633218.947897</v>
      </c>
      <c r="AK22" s="23">
        <f>SUM(AK6:AK21)</f>
        <v>43503364.641947299</v>
      </c>
      <c r="AL22" s="23">
        <f>SUM(AL6:AL21)</f>
        <v>724086250.52478874</v>
      </c>
      <c r="AM22" s="23">
        <f t="shared" si="3"/>
        <v>2063983056.2360964</v>
      </c>
      <c r="AN22" s="30">
        <f>SUM(AN6:AN21)/COUNT(AN6:AN21)</f>
        <v>0.5657251933976416</v>
      </c>
      <c r="AO22" s="30">
        <f>SUM(AO6:AO21)/COUNT(AO6:AO21)</f>
        <v>0.24290832062241452</v>
      </c>
      <c r="AP22" s="30">
        <f>SUM(AP6:AP21)/COUNT(AP6:AP21)</f>
        <v>0.20311172419513987</v>
      </c>
      <c r="AQ22" s="30">
        <f>SUM(AQ6:AQ21)/COUNT(AQ6:AQ21)</f>
        <v>0.36261346920250176</v>
      </c>
      <c r="AR22" s="20">
        <f>SUM(AR7:AR20)</f>
        <v>1</v>
      </c>
    </row>
  </sheetData>
  <mergeCells count="1">
    <mergeCell ref="B1:AR1"/>
  </mergeCells>
  <dataValidations count="1">
    <dataValidation type="list" allowBlank="1" showInputMessage="1" showErrorMessage="1" sqref="A3" xr:uid="{DC430DA6-545E-4BFC-B2A1-8B19C98952AF}">
      <formula1>$A$6:$A$22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11F6-4437-426A-A57C-76649756FA7A}">
  <dimension ref="A1:AR22"/>
  <sheetViews>
    <sheetView topLeftCell="I2" workbookViewId="0">
      <pane ySplit="4" topLeftCell="A19" activePane="bottomLeft" state="frozen"/>
      <selection activeCell="A2" sqref="A2"/>
      <selection pane="bottomLeft" activeCell="A5" sqref="A5:AR22"/>
    </sheetView>
  </sheetViews>
  <sheetFormatPr defaultRowHeight="14.4" x14ac:dyDescent="0.3"/>
  <cols>
    <col min="1" max="1" width="33.26953125" style="2" bestFit="1" customWidth="1"/>
    <col min="2" max="2" width="11.453125" style="2" customWidth="1"/>
    <col min="3" max="3" width="10.08984375" style="2" customWidth="1"/>
    <col min="4" max="8" width="11" style="2" customWidth="1"/>
    <col min="9" max="9" width="11.54296875" style="2" customWidth="1"/>
    <col min="10" max="11" width="7.08984375" style="2" customWidth="1"/>
    <col min="12" max="12" width="9.7265625" style="2" customWidth="1"/>
    <col min="13" max="13" width="10.08984375" style="2" customWidth="1"/>
    <col min="14" max="14" width="9.08984375" style="2" customWidth="1"/>
    <col min="15" max="17" width="12.36328125" style="2" customWidth="1"/>
    <col min="18" max="18" width="11" style="2" customWidth="1"/>
    <col min="19" max="20" width="11.1796875" style="2" customWidth="1"/>
    <col min="21" max="21" width="10.90625" style="2" customWidth="1"/>
    <col min="22" max="22" width="11.453125" style="2" customWidth="1"/>
    <col min="23" max="24" width="10.90625" style="2" customWidth="1"/>
    <col min="25" max="26" width="11.54296875" style="2" customWidth="1"/>
    <col min="27" max="28" width="10.90625" style="2" customWidth="1"/>
    <col min="29" max="29" width="12.36328125" style="2" customWidth="1"/>
    <col min="30" max="30" width="11.1796875" style="2" customWidth="1"/>
    <col min="31" max="31" width="12.26953125" style="2" customWidth="1"/>
    <col min="32" max="33" width="10.90625" style="2" customWidth="1"/>
    <col min="34" max="34" width="12.6328125" style="2" bestFit="1" customWidth="1"/>
    <col min="35" max="35" width="12.26953125" style="2" customWidth="1"/>
    <col min="36" max="36" width="12.26953125" style="2" bestFit="1" customWidth="1"/>
    <col min="37" max="37" width="12.26953125" style="2" customWidth="1"/>
    <col min="38" max="38" width="10.90625" style="2" bestFit="1" customWidth="1"/>
    <col min="39" max="39" width="12.26953125" style="2" bestFit="1" customWidth="1"/>
    <col min="40" max="40" width="6.90625" style="2" bestFit="1" customWidth="1"/>
    <col min="41" max="41" width="8.7265625" style="2"/>
    <col min="42" max="43" width="7.26953125" style="2" bestFit="1" customWidth="1"/>
    <col min="44" max="44" width="7.08984375" style="2" bestFit="1" customWidth="1"/>
    <col min="45" max="16384" width="8.7265625" style="2"/>
  </cols>
  <sheetData>
    <row r="1" spans="1:44" ht="21" x14ac:dyDescent="0.35">
      <c r="A1" s="1" t="s">
        <v>76</v>
      </c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</row>
    <row r="2" spans="1:44" ht="72" x14ac:dyDescent="0.3">
      <c r="A2" s="3"/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1</v>
      </c>
      <c r="H2" s="4" t="s">
        <v>35</v>
      </c>
      <c r="I2" s="4" t="s">
        <v>36</v>
      </c>
      <c r="J2" s="4" t="s">
        <v>2</v>
      </c>
      <c r="K2" s="4" t="s">
        <v>37</v>
      </c>
      <c r="L2" s="4" t="s">
        <v>38</v>
      </c>
      <c r="M2" s="4" t="s">
        <v>39</v>
      </c>
      <c r="N2" s="4" t="s">
        <v>3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</v>
      </c>
      <c r="Y2" s="4" t="s">
        <v>49</v>
      </c>
      <c r="Z2" s="4" t="s">
        <v>50</v>
      </c>
      <c r="AA2" s="4" t="s">
        <v>51</v>
      </c>
      <c r="AB2" s="4" t="s">
        <v>5</v>
      </c>
      <c r="AC2" s="4" t="s">
        <v>52</v>
      </c>
      <c r="AD2" s="4" t="s">
        <v>53</v>
      </c>
      <c r="AE2" s="4" t="s">
        <v>6</v>
      </c>
      <c r="AF2" s="4" t="s">
        <v>7</v>
      </c>
      <c r="AG2" s="4" t="s">
        <v>8</v>
      </c>
      <c r="AH2" s="5" t="s">
        <v>9</v>
      </c>
      <c r="AI2" s="5" t="s">
        <v>71</v>
      </c>
      <c r="AJ2" s="5" t="s">
        <v>54</v>
      </c>
      <c r="AK2" s="5" t="s">
        <v>56</v>
      </c>
      <c r="AL2" s="5" t="s">
        <v>55</v>
      </c>
      <c r="AM2" s="5" t="s">
        <v>57</v>
      </c>
      <c r="AN2" s="33" t="s">
        <v>66</v>
      </c>
      <c r="AO2" s="33" t="s">
        <v>67</v>
      </c>
      <c r="AP2" s="33" t="s">
        <v>59</v>
      </c>
      <c r="AQ2" s="33" t="s">
        <v>60</v>
      </c>
      <c r="AR2" s="6" t="s">
        <v>10</v>
      </c>
    </row>
    <row r="3" spans="1:44" x14ac:dyDescent="0.3">
      <c r="A3" s="7" t="s">
        <v>11</v>
      </c>
      <c r="B3" s="8">
        <f t="shared" ref="B3:AR3" si="0">INDEX(B6:B22,MATCH($A$3,$A$6:$A$22,0))</f>
        <v>0</v>
      </c>
      <c r="C3" s="8">
        <f t="shared" si="0"/>
        <v>0</v>
      </c>
      <c r="D3" s="8">
        <f t="shared" si="0"/>
        <v>11304805.268982399</v>
      </c>
      <c r="E3" s="8">
        <f t="shared" si="0"/>
        <v>8588088.7470908593</v>
      </c>
      <c r="F3" s="8">
        <f t="shared" si="0"/>
        <v>6023523.1544722002</v>
      </c>
      <c r="G3" s="8">
        <f t="shared" si="0"/>
        <v>0</v>
      </c>
      <c r="H3" s="8">
        <f t="shared" si="0"/>
        <v>43930392.643566497</v>
      </c>
      <c r="I3" s="8">
        <f t="shared" si="0"/>
        <v>21553766.401282798</v>
      </c>
      <c r="J3" s="8">
        <f t="shared" si="0"/>
        <v>0</v>
      </c>
      <c r="K3" s="8">
        <f t="shared" si="0"/>
        <v>0</v>
      </c>
      <c r="L3" s="8">
        <f t="shared" si="0"/>
        <v>0</v>
      </c>
      <c r="M3" s="8">
        <f t="shared" si="0"/>
        <v>25944286.969827101</v>
      </c>
      <c r="N3" s="8">
        <f t="shared" si="0"/>
        <v>0</v>
      </c>
      <c r="O3" s="8">
        <f t="shared" si="0"/>
        <v>117344863.185222</v>
      </c>
      <c r="P3" s="8">
        <f t="shared" si="0"/>
        <v>113558699.798521</v>
      </c>
      <c r="Q3" s="8">
        <f t="shared" si="0"/>
        <v>85525601.5</v>
      </c>
      <c r="R3" s="8">
        <f t="shared" si="0"/>
        <v>31819261.685222</v>
      </c>
      <c r="S3" s="8">
        <f t="shared" si="0"/>
        <v>6203239.0914049204</v>
      </c>
      <c r="T3" s="8">
        <f t="shared" si="0"/>
        <v>85525601.5</v>
      </c>
      <c r="U3" s="8">
        <f t="shared" si="0"/>
        <v>15388173.8425621</v>
      </c>
      <c r="V3" s="8">
        <f t="shared" si="0"/>
        <v>70137427.657437801</v>
      </c>
      <c r="W3" s="8">
        <f t="shared" si="0"/>
        <v>28196158.148521099</v>
      </c>
      <c r="X3" s="8">
        <f t="shared" si="0"/>
        <v>0</v>
      </c>
      <c r="Y3" s="8">
        <f t="shared" si="0"/>
        <v>13003620.182657899</v>
      </c>
      <c r="Z3" s="8">
        <f t="shared" si="0"/>
        <v>-8005350.0914049204</v>
      </c>
      <c r="AA3" s="8">
        <f t="shared" si="0"/>
        <v>31534706.823285501</v>
      </c>
      <c r="AB3" s="8">
        <f t="shared" si="0"/>
        <v>17186781.0699999</v>
      </c>
      <c r="AC3" s="8">
        <f t="shared" si="0"/>
        <v>0</v>
      </c>
      <c r="AD3" s="8">
        <f t="shared" si="0"/>
        <v>0</v>
      </c>
      <c r="AE3" s="8">
        <f t="shared" si="0"/>
        <v>535581164.328502</v>
      </c>
      <c r="AF3" s="8">
        <f t="shared" si="0"/>
        <v>79706708.989999995</v>
      </c>
      <c r="AG3" s="8">
        <f t="shared" si="0"/>
        <v>26355316.666999999</v>
      </c>
      <c r="AH3" s="8">
        <f t="shared" si="0"/>
        <v>658829971.05999994</v>
      </c>
      <c r="AI3" s="8">
        <f t="shared" si="0"/>
        <v>418420466.3858999</v>
      </c>
      <c r="AJ3" s="8">
        <f t="shared" si="0"/>
        <v>288675904.92000002</v>
      </c>
      <c r="AK3" s="8">
        <f t="shared" si="0"/>
        <v>0</v>
      </c>
      <c r="AL3" s="8">
        <f t="shared" si="0"/>
        <v>122143494.718529</v>
      </c>
      <c r="AM3" s="8">
        <f t="shared" si="0"/>
        <v>418963729.14775997</v>
      </c>
      <c r="AN3" s="9">
        <f t="shared" si="0"/>
        <v>0.190134379596412</v>
      </c>
      <c r="AO3" s="9">
        <f t="shared" si="0"/>
        <v>0.24829588748856299</v>
      </c>
      <c r="AP3" s="9">
        <f t="shared" si="0"/>
        <v>0.135508542012758</v>
      </c>
      <c r="AQ3" s="9">
        <f t="shared" si="0"/>
        <v>5.4625837583653802E-2</v>
      </c>
      <c r="AR3" s="9">
        <f t="shared" si="0"/>
        <v>8.9985666831739669E-2</v>
      </c>
    </row>
    <row r="4" spans="1:44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28"/>
      <c r="AO4" s="28"/>
      <c r="AP4" s="28"/>
      <c r="AQ4" s="28"/>
      <c r="AR4" s="11"/>
    </row>
    <row r="5" spans="1:44" ht="72" x14ac:dyDescent="0.3">
      <c r="A5" s="12" t="s">
        <v>12</v>
      </c>
      <c r="B5" s="12" t="s">
        <v>30</v>
      </c>
      <c r="C5" s="12" t="s">
        <v>31</v>
      </c>
      <c r="D5" s="12" t="s">
        <v>32</v>
      </c>
      <c r="E5" s="12" t="s">
        <v>33</v>
      </c>
      <c r="F5" s="12" t="s">
        <v>34</v>
      </c>
      <c r="G5" s="12" t="s">
        <v>1</v>
      </c>
      <c r="H5" s="12" t="s">
        <v>35</v>
      </c>
      <c r="I5" s="12" t="s">
        <v>36</v>
      </c>
      <c r="J5" s="12" t="s">
        <v>2</v>
      </c>
      <c r="K5" s="12" t="s">
        <v>37</v>
      </c>
      <c r="L5" s="12" t="s">
        <v>38</v>
      </c>
      <c r="M5" s="12" t="s">
        <v>39</v>
      </c>
      <c r="N5" s="12" t="s">
        <v>3</v>
      </c>
      <c r="O5" s="13" t="s">
        <v>40</v>
      </c>
      <c r="P5" s="13" t="s">
        <v>41</v>
      </c>
      <c r="Q5" s="13" t="s">
        <v>42</v>
      </c>
      <c r="R5" s="13" t="s">
        <v>43</v>
      </c>
      <c r="S5" s="13" t="s">
        <v>44</v>
      </c>
      <c r="T5" s="13" t="s">
        <v>45</v>
      </c>
      <c r="U5" s="13" t="s">
        <v>46</v>
      </c>
      <c r="V5" s="13" t="s">
        <v>47</v>
      </c>
      <c r="W5" s="13" t="s">
        <v>48</v>
      </c>
      <c r="X5" s="13" t="s">
        <v>4</v>
      </c>
      <c r="Y5" s="13" t="s">
        <v>49</v>
      </c>
      <c r="Z5" s="13" t="s">
        <v>50</v>
      </c>
      <c r="AA5" s="13" t="s">
        <v>51</v>
      </c>
      <c r="AB5" s="13" t="s">
        <v>5</v>
      </c>
      <c r="AC5" s="13" t="s">
        <v>52</v>
      </c>
      <c r="AD5" s="13" t="s">
        <v>53</v>
      </c>
      <c r="AE5" s="13" t="s">
        <v>6</v>
      </c>
      <c r="AF5" s="13" t="s">
        <v>7</v>
      </c>
      <c r="AG5" s="13" t="s">
        <v>8</v>
      </c>
      <c r="AH5" s="14" t="s">
        <v>9</v>
      </c>
      <c r="AI5" s="14" t="s">
        <v>71</v>
      </c>
      <c r="AJ5" s="14" t="s">
        <v>54</v>
      </c>
      <c r="AK5" s="14" t="s">
        <v>56</v>
      </c>
      <c r="AL5" s="14" t="s">
        <v>55</v>
      </c>
      <c r="AM5" s="14" t="s">
        <v>57</v>
      </c>
      <c r="AN5" s="35" t="s">
        <v>68</v>
      </c>
      <c r="AO5" s="35" t="s">
        <v>67</v>
      </c>
      <c r="AP5" s="35" t="s">
        <v>59</v>
      </c>
      <c r="AQ5" s="35" t="s">
        <v>60</v>
      </c>
      <c r="AR5" s="15" t="s">
        <v>10</v>
      </c>
    </row>
    <row r="6" spans="1:44" x14ac:dyDescent="0.3">
      <c r="A6" s="17" t="s">
        <v>74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37"/>
      <c r="AJ6" s="18"/>
      <c r="AK6" s="18"/>
      <c r="AL6" s="19"/>
      <c r="AM6" s="19"/>
      <c r="AN6" s="29"/>
      <c r="AO6" s="29"/>
      <c r="AP6" s="29"/>
      <c r="AQ6" s="29"/>
      <c r="AR6" s="20"/>
    </row>
    <row r="7" spans="1:44" x14ac:dyDescent="0.3">
      <c r="A7" s="17" t="s">
        <v>15</v>
      </c>
      <c r="B7" s="18">
        <v>0</v>
      </c>
      <c r="C7" s="18">
        <v>41733954.886697702</v>
      </c>
      <c r="D7" s="18">
        <v>70747712.241594493</v>
      </c>
      <c r="E7" s="18">
        <v>27778174.469613802</v>
      </c>
      <c r="F7" s="18">
        <v>0</v>
      </c>
      <c r="G7" s="18">
        <v>20528026.196284998</v>
      </c>
      <c r="H7" s="18">
        <v>182864108.19251299</v>
      </c>
      <c r="I7" s="18">
        <v>0</v>
      </c>
      <c r="J7" s="18">
        <v>0</v>
      </c>
      <c r="K7" s="18">
        <v>0</v>
      </c>
      <c r="L7" s="18">
        <v>0</v>
      </c>
      <c r="M7" s="18">
        <v>735328.97685897397</v>
      </c>
      <c r="N7" s="18">
        <v>0</v>
      </c>
      <c r="O7" s="18">
        <v>344387304.96356302</v>
      </c>
      <c r="P7" s="18">
        <v>342862963.17899698</v>
      </c>
      <c r="Q7" s="18">
        <v>229018385.914359</v>
      </c>
      <c r="R7" s="18">
        <v>115368919.04920299</v>
      </c>
      <c r="S7" s="18">
        <v>24522329.721941002</v>
      </c>
      <c r="T7" s="18">
        <v>229018385.914359</v>
      </c>
      <c r="U7" s="18">
        <v>200465256.31846401</v>
      </c>
      <c r="V7" s="18">
        <v>28553129.595894899</v>
      </c>
      <c r="W7" s="18">
        <v>104562665.314155</v>
      </c>
      <c r="X7" s="18">
        <v>133873197.157242</v>
      </c>
      <c r="Y7" s="18">
        <v>-111389138.46252701</v>
      </c>
      <c r="Z7" s="18">
        <v>-5656542.8082760703</v>
      </c>
      <c r="AA7" s="18">
        <v>117928546.320594</v>
      </c>
      <c r="AB7" s="18">
        <v>433731443.64880002</v>
      </c>
      <c r="AC7" s="18">
        <v>0</v>
      </c>
      <c r="AD7" s="18">
        <v>-1343490.33810059</v>
      </c>
      <c r="AE7" s="18">
        <v>1907951940.8706901</v>
      </c>
      <c r="AF7" s="18">
        <v>37010663.919999897</v>
      </c>
      <c r="AG7" s="18">
        <v>68109708.010001704</v>
      </c>
      <c r="AH7" s="18">
        <v>2445460266.1100001</v>
      </c>
      <c r="AI7" s="37">
        <v>1765090897.29</v>
      </c>
      <c r="AJ7" s="18">
        <v>1322947422.50899</v>
      </c>
      <c r="AK7" s="18">
        <v>34991819.451502398</v>
      </c>
      <c r="AL7" s="19">
        <v>344204827.01712698</v>
      </c>
      <c r="AM7" s="19">
        <v>844562390.62656605</v>
      </c>
      <c r="AN7" s="29">
        <v>0.65620265296180902</v>
      </c>
      <c r="AO7" s="29">
        <v>0.30496926336008601</v>
      </c>
      <c r="AP7" s="29">
        <v>0.58468040543010702</v>
      </c>
      <c r="AQ7" s="29">
        <v>7.1522247531701694E-2</v>
      </c>
      <c r="AR7" s="20">
        <f>O7/$O$22</f>
        <v>0.26409269604427532</v>
      </c>
    </row>
    <row r="8" spans="1:44" x14ac:dyDescent="0.3">
      <c r="A8" s="17" t="s">
        <v>16</v>
      </c>
      <c r="B8" s="18">
        <v>0</v>
      </c>
      <c r="C8" s="18">
        <v>0</v>
      </c>
      <c r="D8" s="18">
        <v>0</v>
      </c>
      <c r="E8" s="18">
        <v>0</v>
      </c>
      <c r="F8" s="18">
        <v>1534414.52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1534414.52</v>
      </c>
      <c r="P8" s="18">
        <v>1380973.06</v>
      </c>
      <c r="Q8" s="18">
        <v>131519.39000000001</v>
      </c>
      <c r="R8" s="18">
        <v>1402895.13</v>
      </c>
      <c r="S8" s="18">
        <v>3708985.98</v>
      </c>
      <c r="T8" s="18">
        <v>131519.39000000001</v>
      </c>
      <c r="U8" s="18">
        <v>0</v>
      </c>
      <c r="V8" s="18">
        <v>131519.39000000001</v>
      </c>
      <c r="W8" s="18">
        <v>1249453.67</v>
      </c>
      <c r="X8" s="18">
        <v>688767.79</v>
      </c>
      <c r="Y8" s="18">
        <v>-313255</v>
      </c>
      <c r="Z8" s="18">
        <v>-3708985.98</v>
      </c>
      <c r="AA8" s="18">
        <v>-2084019.52</v>
      </c>
      <c r="AB8" s="18">
        <v>322846.70999999897</v>
      </c>
      <c r="AC8" s="18">
        <v>0</v>
      </c>
      <c r="AD8" s="18">
        <v>0</v>
      </c>
      <c r="AE8" s="18">
        <v>6037709.1399999997</v>
      </c>
      <c r="AF8" s="18">
        <v>7894177.7599999998</v>
      </c>
      <c r="AG8" s="18">
        <v>5638069.1999999899</v>
      </c>
      <c r="AH8" s="18">
        <v>19922302.809999999</v>
      </c>
      <c r="AI8" s="18">
        <v>31121852.52</v>
      </c>
      <c r="AJ8" s="18">
        <v>15908990.35</v>
      </c>
      <c r="AK8" s="18">
        <v>0</v>
      </c>
      <c r="AL8" s="19">
        <v>722048.73</v>
      </c>
      <c r="AM8" s="19">
        <v>0</v>
      </c>
      <c r="AN8" s="29">
        <v>2.68577721566849</v>
      </c>
      <c r="AO8" s="29">
        <v>0.90476324715559597</v>
      </c>
      <c r="AP8" s="29">
        <v>0</v>
      </c>
      <c r="AQ8" s="29">
        <v>2.68577721566849</v>
      </c>
      <c r="AR8" s="20">
        <f>O8/$O$22</f>
        <v>1.1766626167569001E-3</v>
      </c>
    </row>
    <row r="9" spans="1:44" x14ac:dyDescent="0.3">
      <c r="A9" s="17" t="s">
        <v>17</v>
      </c>
      <c r="B9" s="18">
        <v>5633863.4622463603</v>
      </c>
      <c r="C9" s="18">
        <v>0</v>
      </c>
      <c r="D9" s="18">
        <v>0</v>
      </c>
      <c r="E9" s="18">
        <v>50648896.539719202</v>
      </c>
      <c r="F9" s="18">
        <v>743737.45068795397</v>
      </c>
      <c r="G9" s="18">
        <v>4152067.3422114998</v>
      </c>
      <c r="H9" s="18">
        <v>2286136.3814452998</v>
      </c>
      <c r="I9" s="18">
        <v>1539392.41546454</v>
      </c>
      <c r="J9" s="18">
        <v>0</v>
      </c>
      <c r="K9" s="18">
        <v>0</v>
      </c>
      <c r="L9" s="18">
        <v>0</v>
      </c>
      <c r="M9" s="18">
        <v>2090476.37884882</v>
      </c>
      <c r="N9" s="18">
        <v>382950.14442973601</v>
      </c>
      <c r="O9" s="18">
        <v>67477520.1150534</v>
      </c>
      <c r="P9" s="18">
        <v>67477520.1150534</v>
      </c>
      <c r="Q9" s="18">
        <v>43662881.586165696</v>
      </c>
      <c r="R9" s="18">
        <v>23814638.5288876</v>
      </c>
      <c r="S9" s="18">
        <v>23920262.739999998</v>
      </c>
      <c r="T9" s="18">
        <v>43662881.586165696</v>
      </c>
      <c r="U9" s="18">
        <v>2361940.6897977102</v>
      </c>
      <c r="V9" s="18">
        <v>41300940.896367997</v>
      </c>
      <c r="W9" s="18">
        <v>23814638.5288876</v>
      </c>
      <c r="X9" s="18">
        <v>20262167.059999999</v>
      </c>
      <c r="Y9" s="18">
        <v>351273.80326651299</v>
      </c>
      <c r="Z9" s="18">
        <v>-22302995.969999999</v>
      </c>
      <c r="AA9" s="18">
        <v>22125083.422154199</v>
      </c>
      <c r="AB9" s="18">
        <v>30419411.7999999</v>
      </c>
      <c r="AC9" s="18">
        <v>0</v>
      </c>
      <c r="AD9" s="18">
        <v>0</v>
      </c>
      <c r="AE9" s="18">
        <v>555296297.93999898</v>
      </c>
      <c r="AF9" s="18">
        <v>85414132.329999998</v>
      </c>
      <c r="AG9" s="18">
        <v>19380986.48</v>
      </c>
      <c r="AH9" s="18">
        <v>694142069.00999999</v>
      </c>
      <c r="AI9" s="18">
        <v>439916156.77757698</v>
      </c>
      <c r="AJ9" s="18">
        <v>78373206</v>
      </c>
      <c r="AK9" s="18">
        <v>0</v>
      </c>
      <c r="AL9" s="19">
        <v>292820394.77644497</v>
      </c>
      <c r="AM9" s="19">
        <v>0</v>
      </c>
      <c r="AN9" s="29">
        <v>0.38949569256524003</v>
      </c>
      <c r="AO9" s="29">
        <v>0.35292699684698198</v>
      </c>
      <c r="AP9" s="29">
        <v>3.5003371282324197E-2</v>
      </c>
      <c r="AQ9" s="29">
        <v>0.35449232128291602</v>
      </c>
      <c r="AR9" s="20">
        <f>O9/$O$22</f>
        <v>5.1744997427973435E-2</v>
      </c>
    </row>
    <row r="10" spans="1:44" x14ac:dyDescent="0.3">
      <c r="A10" s="17" t="s">
        <v>19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J10" s="18"/>
      <c r="AK10" s="18"/>
      <c r="AL10" s="19"/>
      <c r="AM10" s="19"/>
      <c r="AN10" s="29"/>
      <c r="AO10" s="29"/>
      <c r="AP10" s="29"/>
      <c r="AQ10" s="29"/>
      <c r="AR10" s="20"/>
    </row>
    <row r="11" spans="1:44" x14ac:dyDescent="0.3">
      <c r="A11" s="17" t="s">
        <v>29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9"/>
      <c r="AJ11" s="18"/>
      <c r="AK11" s="18"/>
      <c r="AL11" s="19"/>
      <c r="AM11" s="19"/>
      <c r="AN11" s="29"/>
      <c r="AO11" s="29"/>
      <c r="AP11" s="29"/>
      <c r="AQ11" s="29"/>
      <c r="AR11" s="20"/>
    </row>
    <row r="12" spans="1:44" x14ac:dyDescent="0.3">
      <c r="A12" s="17" t="s">
        <v>20</v>
      </c>
      <c r="B12" s="18">
        <v>0</v>
      </c>
      <c r="C12" s="18">
        <v>9843235</v>
      </c>
      <c r="D12" s="18">
        <v>0</v>
      </c>
      <c r="E12" s="18">
        <v>7348936</v>
      </c>
      <c r="F12" s="18">
        <v>5328371</v>
      </c>
      <c r="G12" s="18">
        <v>5140365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27660907</v>
      </c>
      <c r="P12" s="18">
        <v>25976146</v>
      </c>
      <c r="Q12" s="18">
        <v>27017426</v>
      </c>
      <c r="R12" s="18">
        <v>643481</v>
      </c>
      <c r="S12" s="18">
        <v>1592610</v>
      </c>
      <c r="T12" s="18">
        <v>27017426</v>
      </c>
      <c r="U12" s="18">
        <v>6847880</v>
      </c>
      <c r="V12" s="18">
        <v>20169546</v>
      </c>
      <c r="W12" s="18">
        <v>-1554958</v>
      </c>
      <c r="X12" s="18">
        <v>33626331</v>
      </c>
      <c r="Y12" s="18">
        <v>-31185256</v>
      </c>
      <c r="Z12" s="18">
        <v>-1592610</v>
      </c>
      <c r="AA12" s="18">
        <v>-2068019</v>
      </c>
      <c r="AB12" s="18">
        <v>30813499</v>
      </c>
      <c r="AC12" s="18">
        <v>6347824</v>
      </c>
      <c r="AD12" s="18">
        <v>1886310</v>
      </c>
      <c r="AE12" s="18">
        <v>349651075</v>
      </c>
      <c r="AF12" s="18">
        <v>2111714</v>
      </c>
      <c r="AG12" s="18">
        <v>7172820</v>
      </c>
      <c r="AH12" s="18">
        <v>398137145</v>
      </c>
      <c r="AI12" s="18">
        <v>306399592</v>
      </c>
      <c r="AJ12" s="18">
        <v>298416736</v>
      </c>
      <c r="AK12" s="18">
        <v>672</v>
      </c>
      <c r="AL12" s="19">
        <v>0</v>
      </c>
      <c r="AM12" s="19">
        <v>1552225.8504419799</v>
      </c>
      <c r="AN12" s="29">
        <v>0.324932343697175</v>
      </c>
      <c r="AO12" s="29">
        <v>-5.9860997085556797E-2</v>
      </c>
      <c r="AP12" s="29">
        <v>0.26362186291992601</v>
      </c>
      <c r="AQ12" s="29">
        <v>6.1310480777248398E-2</v>
      </c>
      <c r="AR12" s="20">
        <f>O12/$O$22</f>
        <v>2.1211709605360913E-2</v>
      </c>
    </row>
    <row r="13" spans="1:44" x14ac:dyDescent="0.3">
      <c r="A13" s="17" t="s">
        <v>11</v>
      </c>
      <c r="B13" s="18">
        <v>0</v>
      </c>
      <c r="C13" s="18">
        <v>0</v>
      </c>
      <c r="D13" s="18">
        <v>11304805.268982399</v>
      </c>
      <c r="E13" s="18">
        <v>8588088.7470908593</v>
      </c>
      <c r="F13" s="18">
        <v>6023523.1544722002</v>
      </c>
      <c r="G13" s="18">
        <v>0</v>
      </c>
      <c r="H13" s="18">
        <v>43930392.643566497</v>
      </c>
      <c r="I13" s="18">
        <v>21553766.401282798</v>
      </c>
      <c r="J13" s="18">
        <v>0</v>
      </c>
      <c r="K13" s="18">
        <v>0</v>
      </c>
      <c r="L13" s="18">
        <v>0</v>
      </c>
      <c r="M13" s="18">
        <v>25944286.969827101</v>
      </c>
      <c r="N13" s="18">
        <v>0</v>
      </c>
      <c r="O13" s="18">
        <v>117344863.185222</v>
      </c>
      <c r="P13" s="18">
        <v>113558699.798521</v>
      </c>
      <c r="Q13" s="18">
        <v>85525601.5</v>
      </c>
      <c r="R13" s="18">
        <v>31819261.685222</v>
      </c>
      <c r="S13" s="18">
        <v>6203239.0914049204</v>
      </c>
      <c r="T13" s="18">
        <v>85525601.5</v>
      </c>
      <c r="U13" s="18">
        <v>15388173.8425621</v>
      </c>
      <c r="V13" s="18">
        <v>70137427.657437801</v>
      </c>
      <c r="W13" s="18">
        <v>28196158.148521099</v>
      </c>
      <c r="X13" s="18">
        <v>0</v>
      </c>
      <c r="Y13" s="18">
        <v>13003620.182657899</v>
      </c>
      <c r="Z13" s="18">
        <v>-8005350.0914049204</v>
      </c>
      <c r="AA13" s="18">
        <v>31534706.823285501</v>
      </c>
      <c r="AB13" s="18">
        <v>17186781.0699999</v>
      </c>
      <c r="AC13" s="18">
        <v>0</v>
      </c>
      <c r="AD13" s="18">
        <v>0</v>
      </c>
      <c r="AE13" s="18">
        <v>535581164.328502</v>
      </c>
      <c r="AF13" s="18">
        <v>79706708.989999995</v>
      </c>
      <c r="AG13" s="18">
        <v>26355316.666999999</v>
      </c>
      <c r="AH13" s="18">
        <v>658829971.05999994</v>
      </c>
      <c r="AI13" s="18">
        <v>418420466.3858999</v>
      </c>
      <c r="AJ13" s="18">
        <v>288675904.92000002</v>
      </c>
      <c r="AK13" s="18">
        <v>0</v>
      </c>
      <c r="AL13" s="19">
        <v>122143494.718529</v>
      </c>
      <c r="AM13" s="19">
        <v>418963729.14775997</v>
      </c>
      <c r="AN13" s="29">
        <v>0.190134379596412</v>
      </c>
      <c r="AO13" s="29">
        <v>0.24829588748856299</v>
      </c>
      <c r="AP13" s="29">
        <v>0.135508542012758</v>
      </c>
      <c r="AQ13" s="29">
        <v>5.4625837583653802E-2</v>
      </c>
      <c r="AR13" s="20">
        <f t="shared" ref="AR13:AR20" si="1">O13/$O$22</f>
        <v>8.9985666831739669E-2</v>
      </c>
    </row>
    <row r="14" spans="1:44" x14ac:dyDescent="0.3">
      <c r="A14" s="17" t="s">
        <v>21</v>
      </c>
      <c r="B14" s="18">
        <v>23956572</v>
      </c>
      <c r="C14" s="18">
        <v>0</v>
      </c>
      <c r="D14" s="18">
        <v>0</v>
      </c>
      <c r="E14" s="18">
        <v>33506592.469999999</v>
      </c>
      <c r="F14" s="18">
        <v>1099341.3299999901</v>
      </c>
      <c r="G14" s="18">
        <v>3254874</v>
      </c>
      <c r="H14" s="18">
        <v>3653229.88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65470609.68</v>
      </c>
      <c r="P14" s="18">
        <v>65470609.68</v>
      </c>
      <c r="Q14" s="18">
        <v>49770324</v>
      </c>
      <c r="R14" s="18">
        <v>15700285.68</v>
      </c>
      <c r="S14" s="18">
        <v>34042000</v>
      </c>
      <c r="T14" s="18">
        <v>49770324</v>
      </c>
      <c r="U14" s="18">
        <v>13275244</v>
      </c>
      <c r="V14" s="18">
        <v>36495080</v>
      </c>
      <c r="W14" s="18">
        <v>15700285.68</v>
      </c>
      <c r="X14" s="18">
        <v>32126000</v>
      </c>
      <c r="Y14" s="18">
        <v>-31689000</v>
      </c>
      <c r="Z14" s="18">
        <v>-34316000</v>
      </c>
      <c r="AA14" s="18">
        <v>-18178714.3199999</v>
      </c>
      <c r="AB14" s="18">
        <v>76904000</v>
      </c>
      <c r="AC14" s="18">
        <v>0</v>
      </c>
      <c r="AD14" s="18">
        <v>20115941</v>
      </c>
      <c r="AE14" s="18">
        <v>500838868.72946799</v>
      </c>
      <c r="AF14" s="18">
        <v>19673302.926815499</v>
      </c>
      <c r="AG14" s="18">
        <v>14027856.82</v>
      </c>
      <c r="AH14" s="18">
        <v>631588969.48000002</v>
      </c>
      <c r="AI14" s="18">
        <v>567967704.1394999</v>
      </c>
      <c r="AJ14" s="18">
        <v>456172499</v>
      </c>
      <c r="AK14" s="18">
        <v>0</v>
      </c>
      <c r="AL14" s="19">
        <v>98422000</v>
      </c>
      <c r="AM14" s="19">
        <v>0</v>
      </c>
      <c r="AN14" s="29">
        <v>0.72272496363287198</v>
      </c>
      <c r="AO14" s="29">
        <v>0.23980662096684499</v>
      </c>
      <c r="AP14" s="29">
        <v>0.20276646368324999</v>
      </c>
      <c r="AQ14" s="29">
        <v>0.51995849994962096</v>
      </c>
      <c r="AR14" s="20">
        <f t="shared" si="1"/>
        <v>5.0206002291179067E-2</v>
      </c>
    </row>
    <row r="15" spans="1:44" x14ac:dyDescent="0.3">
      <c r="A15" s="17" t="s">
        <v>75</v>
      </c>
      <c r="B15" s="18">
        <v>9126358</v>
      </c>
      <c r="C15" s="18">
        <v>0</v>
      </c>
      <c r="D15" s="18">
        <v>0</v>
      </c>
      <c r="E15" s="18">
        <v>3096616</v>
      </c>
      <c r="F15" s="18">
        <v>161529</v>
      </c>
      <c r="G15" s="18">
        <v>676424</v>
      </c>
      <c r="H15" s="18">
        <v>3658544</v>
      </c>
      <c r="I15" s="18">
        <v>591743</v>
      </c>
      <c r="J15" s="18">
        <v>0</v>
      </c>
      <c r="K15" s="18">
        <v>0</v>
      </c>
      <c r="L15" s="18">
        <v>0</v>
      </c>
      <c r="M15" s="18">
        <v>4407317</v>
      </c>
      <c r="N15" s="18">
        <v>0</v>
      </c>
      <c r="O15" s="18">
        <v>21718531</v>
      </c>
      <c r="P15" s="18">
        <v>21554682</v>
      </c>
      <c r="Q15" s="18">
        <v>9615687</v>
      </c>
      <c r="R15" s="18">
        <v>12102844</v>
      </c>
      <c r="S15" s="18">
        <v>0</v>
      </c>
      <c r="T15" s="18">
        <v>9615687</v>
      </c>
      <c r="U15" s="18">
        <v>2775628</v>
      </c>
      <c r="V15" s="18">
        <v>6840059</v>
      </c>
      <c r="W15" s="18">
        <v>12266693</v>
      </c>
      <c r="X15" s="18">
        <v>6132647</v>
      </c>
      <c r="Y15" s="18">
        <v>0</v>
      </c>
      <c r="Z15" s="18">
        <v>0</v>
      </c>
      <c r="AA15" s="18">
        <v>18399340</v>
      </c>
      <c r="AB15" s="18">
        <v>1668866</v>
      </c>
      <c r="AC15" s="18">
        <v>0</v>
      </c>
      <c r="AD15" s="18">
        <v>0</v>
      </c>
      <c r="AE15" s="18">
        <v>266732385</v>
      </c>
      <c r="AF15" s="18">
        <v>4627574</v>
      </c>
      <c r="AG15" s="18">
        <v>6713247</v>
      </c>
      <c r="AH15" s="18">
        <v>279742072</v>
      </c>
      <c r="AI15" s="18">
        <v>142270709</v>
      </c>
      <c r="AJ15" s="18">
        <v>8725367</v>
      </c>
      <c r="AK15" s="18">
        <v>0</v>
      </c>
      <c r="AL15" s="19">
        <v>91985823</v>
      </c>
      <c r="AM15" s="19">
        <v>0</v>
      </c>
      <c r="AN15" s="29">
        <v>0.128771465985904</v>
      </c>
      <c r="AO15" s="29">
        <v>0.56909644967158401</v>
      </c>
      <c r="AP15" s="29">
        <v>0.128771465985905</v>
      </c>
      <c r="AQ15" s="29">
        <v>0</v>
      </c>
      <c r="AR15" s="20">
        <f t="shared" si="1"/>
        <v>1.6654810799480609E-2</v>
      </c>
    </row>
    <row r="16" spans="1:44" x14ac:dyDescent="0.3">
      <c r="A16" s="17" t="s">
        <v>22</v>
      </c>
      <c r="B16" s="18">
        <v>78131396.781483904</v>
      </c>
      <c r="C16" s="18">
        <v>0</v>
      </c>
      <c r="D16" s="18">
        <v>0</v>
      </c>
      <c r="E16" s="18">
        <v>23814385.640387598</v>
      </c>
      <c r="F16" s="18">
        <v>9898400.7281814497</v>
      </c>
      <c r="G16" s="18">
        <v>-3429914.4893715</v>
      </c>
      <c r="H16" s="18">
        <v>48898030.175633498</v>
      </c>
      <c r="I16" s="18">
        <v>106999202.75153001</v>
      </c>
      <c r="J16" s="18">
        <v>0</v>
      </c>
      <c r="K16" s="18">
        <v>0</v>
      </c>
      <c r="L16" s="18">
        <v>-365315.58578665002</v>
      </c>
      <c r="M16" s="18">
        <v>0</v>
      </c>
      <c r="N16" s="18">
        <v>0</v>
      </c>
      <c r="O16" s="18">
        <v>263946186.00205901</v>
      </c>
      <c r="P16" s="18">
        <v>249712004.909116</v>
      </c>
      <c r="Q16" s="18">
        <v>231181211.64497399</v>
      </c>
      <c r="R16" s="18">
        <v>32764974.357084502</v>
      </c>
      <c r="S16" s="18">
        <v>11123542</v>
      </c>
      <c r="T16" s="18">
        <v>231181211.64497399</v>
      </c>
      <c r="U16" s="18">
        <v>109471030.11497401</v>
      </c>
      <c r="V16" s="18">
        <v>121710181.53</v>
      </c>
      <c r="W16" s="18">
        <v>22308953.1454565</v>
      </c>
      <c r="X16" s="18">
        <v>94239298.373962</v>
      </c>
      <c r="Y16" s="18">
        <v>-101994827.86</v>
      </c>
      <c r="Z16" s="18">
        <v>-11002386.960000001</v>
      </c>
      <c r="AA16" s="18">
        <v>3373484.8646954298</v>
      </c>
      <c r="AB16" s="18">
        <v>141369741.093059</v>
      </c>
      <c r="AC16" s="18">
        <v>6838383.050237</v>
      </c>
      <c r="AD16" s="18">
        <v>6138012.3682403602</v>
      </c>
      <c r="AE16" s="18">
        <v>1046232611.2649601</v>
      </c>
      <c r="AF16" s="18">
        <v>30927160.6533489</v>
      </c>
      <c r="AG16" s="18">
        <v>17274681.086906999</v>
      </c>
      <c r="AH16" s="18">
        <v>1264548497.02</v>
      </c>
      <c r="AI16" s="18">
        <v>972616385.24575806</v>
      </c>
      <c r="AJ16" s="18">
        <v>849344973.16178703</v>
      </c>
      <c r="AK16" s="18">
        <v>9207018.5523605403</v>
      </c>
      <c r="AL16" s="19">
        <v>0</v>
      </c>
      <c r="AM16" s="19">
        <v>380563529.24741799</v>
      </c>
      <c r="AN16" s="29">
        <v>0.482934619658616</v>
      </c>
      <c r="AO16" s="29">
        <v>8.9338729043387105E-2</v>
      </c>
      <c r="AP16" s="29">
        <v>0.43838913613631397</v>
      </c>
      <c r="AQ16" s="29">
        <v>4.4545483522301699E-2</v>
      </c>
      <c r="AR16" s="20">
        <f t="shared" si="1"/>
        <v>0.2024065895206637</v>
      </c>
    </row>
    <row r="17" spans="1:44" x14ac:dyDescent="0.3">
      <c r="A17" s="17" t="s">
        <v>23</v>
      </c>
      <c r="B17" s="18">
        <v>5821498</v>
      </c>
      <c r="C17" s="18">
        <v>0</v>
      </c>
      <c r="D17" s="18">
        <v>0</v>
      </c>
      <c r="E17" s="18">
        <v>962378</v>
      </c>
      <c r="F17" s="18">
        <v>0</v>
      </c>
      <c r="G17" s="18">
        <v>2497511</v>
      </c>
      <c r="H17" s="18">
        <v>125932</v>
      </c>
      <c r="I17" s="18">
        <v>294595</v>
      </c>
      <c r="J17" s="18">
        <v>0</v>
      </c>
      <c r="K17" s="18">
        <v>0</v>
      </c>
      <c r="L17" s="18">
        <v>0</v>
      </c>
      <c r="M17" s="18">
        <v>3970590</v>
      </c>
      <c r="N17" s="18">
        <v>5828758</v>
      </c>
      <c r="O17" s="18">
        <v>19501262</v>
      </c>
      <c r="P17" s="18">
        <v>19501262</v>
      </c>
      <c r="Q17" s="18">
        <v>19930654</v>
      </c>
      <c r="R17" s="18">
        <v>-429392</v>
      </c>
      <c r="S17" s="18">
        <v>8489932</v>
      </c>
      <c r="T17" s="18">
        <v>19930654</v>
      </c>
      <c r="U17" s="18">
        <v>158768</v>
      </c>
      <c r="V17" s="18">
        <v>19771886</v>
      </c>
      <c r="W17" s="18">
        <v>-429392</v>
      </c>
      <c r="X17" s="18">
        <v>23762641</v>
      </c>
      <c r="Y17" s="18">
        <v>0</v>
      </c>
      <c r="Z17" s="18">
        <v>-8097153</v>
      </c>
      <c r="AA17" s="18">
        <v>15236096</v>
      </c>
      <c r="AB17" s="18">
        <v>2115138</v>
      </c>
      <c r="AC17" s="18">
        <v>0</v>
      </c>
      <c r="AD17" s="18">
        <v>0</v>
      </c>
      <c r="AE17" s="18">
        <v>133787705</v>
      </c>
      <c r="AF17" s="18">
        <v>27909154</v>
      </c>
      <c r="AG17" s="18">
        <v>2159851</v>
      </c>
      <c r="AH17" s="18">
        <v>165992904</v>
      </c>
      <c r="AI17" s="18">
        <v>107501579</v>
      </c>
      <c r="AJ17" s="18">
        <v>104049529</v>
      </c>
      <c r="AK17" s="18">
        <v>0</v>
      </c>
      <c r="AL17" s="19">
        <v>0</v>
      </c>
      <c r="AM17" s="19">
        <v>24751458</v>
      </c>
      <c r="AN17" s="29">
        <v>0.44349437487686599</v>
      </c>
      <c r="AO17" s="29">
        <v>-2.2018677560457299E-2</v>
      </c>
      <c r="AP17" s="29">
        <v>8.1414218218287607E-3</v>
      </c>
      <c r="AQ17" s="29">
        <v>0.43535295305503802</v>
      </c>
      <c r="AR17" s="20">
        <f t="shared" si="1"/>
        <v>1.4954502630085837E-2</v>
      </c>
    </row>
    <row r="18" spans="1:44" x14ac:dyDescent="0.3">
      <c r="A18" s="17" t="s">
        <v>72</v>
      </c>
      <c r="B18" s="18">
        <v>17480360</v>
      </c>
      <c r="C18" s="18">
        <v>0</v>
      </c>
      <c r="D18" s="18">
        <v>0</v>
      </c>
      <c r="E18" s="18">
        <v>44585366</v>
      </c>
      <c r="F18" s="18">
        <v>0</v>
      </c>
      <c r="G18" s="18">
        <v>32662896</v>
      </c>
      <c r="H18" s="18">
        <v>14450222</v>
      </c>
      <c r="I18" s="18">
        <v>0</v>
      </c>
      <c r="J18" s="18">
        <v>0</v>
      </c>
      <c r="K18" s="18">
        <v>0</v>
      </c>
      <c r="L18" s="18">
        <v>0</v>
      </c>
      <c r="M18" s="18">
        <v>46554242</v>
      </c>
      <c r="N18" s="18">
        <v>0</v>
      </c>
      <c r="O18" s="18">
        <v>155733086</v>
      </c>
      <c r="P18" s="18">
        <v>138523108</v>
      </c>
      <c r="Q18" s="18">
        <v>117638343</v>
      </c>
      <c r="R18" s="18">
        <v>38094743</v>
      </c>
      <c r="S18" s="18">
        <v>2079524</v>
      </c>
      <c r="T18" s="18">
        <v>117638343</v>
      </c>
      <c r="U18" s="18">
        <v>68782852</v>
      </c>
      <c r="V18" s="18">
        <v>48855491</v>
      </c>
      <c r="W18" s="18">
        <v>20884765</v>
      </c>
      <c r="X18" s="18">
        <v>9940524</v>
      </c>
      <c r="Y18" s="18">
        <v>-17154148</v>
      </c>
      <c r="Z18" s="18">
        <v>-1664149</v>
      </c>
      <c r="AA18" s="18">
        <v>11931579</v>
      </c>
      <c r="AB18" s="18">
        <v>35363623</v>
      </c>
      <c r="AC18" s="18">
        <v>0</v>
      </c>
      <c r="AD18" s="18">
        <v>6086309</v>
      </c>
      <c r="AE18" s="18">
        <v>257394020</v>
      </c>
      <c r="AF18" s="18">
        <v>1935398</v>
      </c>
      <c r="AG18" s="18">
        <v>9957238</v>
      </c>
      <c r="AH18" s="18">
        <v>310736588</v>
      </c>
      <c r="AI18" s="18">
        <v>152632596</v>
      </c>
      <c r="AJ18" s="18">
        <v>75930270</v>
      </c>
      <c r="AK18" s="18">
        <v>13333367.460000001</v>
      </c>
      <c r="AL18" s="19">
        <v>13415481</v>
      </c>
      <c r="AM18" s="19">
        <v>0</v>
      </c>
      <c r="AN18" s="29">
        <v>0.51155635347136397</v>
      </c>
      <c r="AO18" s="29">
        <v>0.15076737232895401</v>
      </c>
      <c r="AP18" s="29">
        <v>0.49654424444475997</v>
      </c>
      <c r="AQ18" s="29">
        <v>1.5012109026603699E-2</v>
      </c>
      <c r="AR18" s="20">
        <f t="shared" si="1"/>
        <v>0.11942359649228773</v>
      </c>
    </row>
    <row r="19" spans="1:44" x14ac:dyDescent="0.3">
      <c r="A19" s="17" t="s">
        <v>25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9"/>
      <c r="AM19" s="19"/>
      <c r="AN19" s="29"/>
      <c r="AO19" s="29"/>
      <c r="AP19" s="29"/>
      <c r="AQ19" s="29"/>
      <c r="AR19" s="20">
        <f t="shared" si="1"/>
        <v>0</v>
      </c>
    </row>
    <row r="20" spans="1:44" x14ac:dyDescent="0.3">
      <c r="A20" s="17" t="s">
        <v>26</v>
      </c>
      <c r="B20" s="18">
        <v>4847324</v>
      </c>
      <c r="C20" s="18">
        <v>0</v>
      </c>
      <c r="D20" s="18">
        <v>0</v>
      </c>
      <c r="E20" s="18">
        <v>54446484</v>
      </c>
      <c r="F20" s="18">
        <v>27614746</v>
      </c>
      <c r="G20" s="18">
        <v>0</v>
      </c>
      <c r="H20" s="18">
        <v>0</v>
      </c>
      <c r="I20" s="18">
        <v>132356252.674843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219264806.67484301</v>
      </c>
      <c r="P20" s="18">
        <v>211018023.67484301</v>
      </c>
      <c r="Q20" s="18">
        <v>165003336.76980501</v>
      </c>
      <c r="R20" s="18">
        <v>54261469.905037597</v>
      </c>
      <c r="S20" s="18">
        <v>16781173</v>
      </c>
      <c r="T20" s="18">
        <v>165003336.76980501</v>
      </c>
      <c r="U20" s="18">
        <v>50786332</v>
      </c>
      <c r="V20" s="18">
        <v>114217004.769805</v>
      </c>
      <c r="W20" s="18">
        <v>47575137.905037597</v>
      </c>
      <c r="X20" s="18">
        <v>109035012</v>
      </c>
      <c r="Y20" s="18">
        <v>-149563750.45330101</v>
      </c>
      <c r="Z20" s="18">
        <v>-50009956.189999998</v>
      </c>
      <c r="AA20" s="18">
        <v>-43883298.738263696</v>
      </c>
      <c r="AB20" s="18">
        <v>56598990.259999901</v>
      </c>
      <c r="AC20" s="18">
        <v>33918397</v>
      </c>
      <c r="AD20" s="18">
        <v>537626.59433780203</v>
      </c>
      <c r="AE20" s="18">
        <v>2021314994</v>
      </c>
      <c r="AF20" s="18">
        <v>621170604.93882</v>
      </c>
      <c r="AG20" s="18">
        <v>62484174.904606901</v>
      </c>
      <c r="AH20" s="18">
        <v>2796203507.2600002</v>
      </c>
      <c r="AI20" s="18">
        <v>1701197918.0000002</v>
      </c>
      <c r="AJ20" s="18">
        <v>1534850683</v>
      </c>
      <c r="AK20" s="18">
        <v>0</v>
      </c>
      <c r="AL20" s="19">
        <v>0</v>
      </c>
      <c r="AM20" s="19">
        <v>818181964.77881098</v>
      </c>
      <c r="AN20" s="29">
        <v>0.32019779080157801</v>
      </c>
      <c r="AO20" s="29">
        <v>0.225455328774882</v>
      </c>
      <c r="AP20" s="29">
        <v>0.240672958241028</v>
      </c>
      <c r="AQ20" s="29">
        <v>7.9524832560549596E-2</v>
      </c>
      <c r="AR20" s="20">
        <f t="shared" si="1"/>
        <v>0.16814276574019685</v>
      </c>
    </row>
    <row r="21" spans="1:44" x14ac:dyDescent="0.3">
      <c r="A21" s="17" t="s">
        <v>27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9"/>
      <c r="AM21" s="19"/>
      <c r="AN21" s="29"/>
      <c r="AO21" s="29"/>
      <c r="AP21" s="29"/>
      <c r="AQ21" s="29"/>
      <c r="AR21" s="20"/>
    </row>
    <row r="22" spans="1:44" x14ac:dyDescent="0.3">
      <c r="A22" s="21" t="s">
        <v>28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>
        <f t="shared" ref="O22:V22" si="2">SUM(O6:O21)</f>
        <v>1304039491.1407404</v>
      </c>
      <c r="P22" s="22">
        <f t="shared" si="2"/>
        <v>1257035992.4165304</v>
      </c>
      <c r="Q22" s="22">
        <f t="shared" si="2"/>
        <v>978495370.80530357</v>
      </c>
      <c r="R22" s="22">
        <f t="shared" si="2"/>
        <v>325544120.33543473</v>
      </c>
      <c r="S22" s="23">
        <f t="shared" si="2"/>
        <v>132463598.53334592</v>
      </c>
      <c r="T22" s="23">
        <f t="shared" si="2"/>
        <v>978495370.80530357</v>
      </c>
      <c r="U22" s="23">
        <f t="shared" si="2"/>
        <v>470313104.96579784</v>
      </c>
      <c r="V22" s="23">
        <f t="shared" si="2"/>
        <v>508182265.83950573</v>
      </c>
      <c r="W22" s="23">
        <f>SUM(W6:W20)</f>
        <v>274574400.39205778</v>
      </c>
      <c r="X22" s="23">
        <f t="shared" ref="X22:AM22" si="3">SUM(X6:X21)</f>
        <v>463686585.38120401</v>
      </c>
      <c r="Y22" s="23">
        <f t="shared" si="3"/>
        <v>-429934481.78990364</v>
      </c>
      <c r="Z22" s="23">
        <f t="shared" si="3"/>
        <v>-146356129.999681</v>
      </c>
      <c r="AA22" s="23">
        <f t="shared" si="3"/>
        <v>154314784.85246551</v>
      </c>
      <c r="AB22" s="23">
        <f t="shared" si="3"/>
        <v>826494340.58185875</v>
      </c>
      <c r="AC22" s="23">
        <f t="shared" si="3"/>
        <v>47104604.050237</v>
      </c>
      <c r="AD22" s="23">
        <f t="shared" si="3"/>
        <v>33420708.624477573</v>
      </c>
      <c r="AE22" s="23">
        <f t="shared" si="3"/>
        <v>7580818771.2736197</v>
      </c>
      <c r="AF22" s="23">
        <f t="shared" si="3"/>
        <v>918380591.51898432</v>
      </c>
      <c r="AG22" s="23">
        <f t="shared" si="3"/>
        <v>239273949.16851559</v>
      </c>
      <c r="AH22" s="23">
        <f t="shared" si="3"/>
        <v>9665304291.75</v>
      </c>
      <c r="AI22" s="23">
        <f t="shared" si="3"/>
        <v>6605135856.3587351</v>
      </c>
      <c r="AJ22" s="23">
        <f t="shared" si="3"/>
        <v>5033395580.9407768</v>
      </c>
      <c r="AK22" s="23">
        <f>SUM(AK6:AK21)</f>
        <v>57532877.463862941</v>
      </c>
      <c r="AL22" s="23">
        <f>SUM(AL6:AL21)</f>
        <v>963714069.24210095</v>
      </c>
      <c r="AM22" s="23">
        <f t="shared" si="3"/>
        <v>2488575297.6509972</v>
      </c>
      <c r="AN22" s="30">
        <f>SUM(AN6:AN21)/COUNT(AN6:AN21)</f>
        <v>0.62329289571966584</v>
      </c>
      <c r="AO22" s="30">
        <f>SUM(AO6:AO21)/COUNT(AO6:AO21)</f>
        <v>0.27304911099916956</v>
      </c>
      <c r="AP22" s="30">
        <f>SUM(AP6:AP21)/COUNT(AP6:AP21)</f>
        <v>0.2303727156325637</v>
      </c>
      <c r="AQ22" s="30">
        <f>SUM(AQ6:AQ21)/COUNT(AQ6:AQ21)</f>
        <v>0.39292018008710217</v>
      </c>
      <c r="AR22" s="20">
        <f>SUM(AR7:AR20)</f>
        <v>1</v>
      </c>
    </row>
  </sheetData>
  <mergeCells count="1">
    <mergeCell ref="B1:AR1"/>
  </mergeCells>
  <dataValidations count="1">
    <dataValidation type="list" allowBlank="1" showInputMessage="1" showErrorMessage="1" sqref="A3" xr:uid="{2F13BBB1-C593-4886-992E-85AE44DBA8E9}">
      <formula1>$A$6:$A$22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Q1, 2024</vt:lpstr>
      <vt:lpstr>Q2, 2024</vt:lpstr>
      <vt:lpstr>Q3, 2024</vt:lpstr>
      <vt:lpstr>Q4, 2024</vt:lpstr>
      <vt:lpstr>Q1, 2025</vt:lpstr>
      <vt:lpstr>Q2,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Mensah</dc:creator>
  <cp:lastModifiedBy>Michael Mensah</cp:lastModifiedBy>
  <dcterms:created xsi:type="dcterms:W3CDTF">2026-01-12T18:31:49Z</dcterms:created>
  <dcterms:modified xsi:type="dcterms:W3CDTF">2026-01-13T12:37:43Z</dcterms:modified>
</cp:coreProperties>
</file>